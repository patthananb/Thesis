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parison Matrix" sheetId="1" state="visible" r:id="rId1"/>
    <sheet xmlns:r="http://schemas.openxmlformats.org/officeDocument/2006/relationships" name="Repository Metrics" sheetId="2" state="visible" r:id="rId2"/>
    <sheet xmlns:r="http://schemas.openxmlformats.org/officeDocument/2006/relationships" name="Protocol Features" sheetId="3" state="visible" r:id="rId3"/>
    <sheet xmlns:r="http://schemas.openxmlformats.org/officeDocument/2006/relationships" name="Architecture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Build &amp; Tools" sheetId="6" state="visible" r:id="rId6"/>
    <sheet xmlns:r="http://schemas.openxmlformats.org/officeDocument/2006/relationships" name="Documentation" sheetId="7" state="visible" r:id="rId7"/>
    <sheet xmlns:r="http://schemas.openxmlformats.org/officeDocument/2006/relationships" name="Deployment" sheetId="8" state="visible" r:id="rId8"/>
    <sheet xmlns:r="http://schemas.openxmlformats.org/officeDocument/2006/relationships" name="Summary &amp; Score" sheetId="9" state="visible" r:id="rId9"/>
    <sheet xmlns:r="http://schemas.openxmlformats.org/officeDocument/2006/relationships" name="Instructions" sheetId="10" state="visible" r:id="rId10"/>
    <sheet xmlns:r="http://schemas.openxmlformats.org/officeDocument/2006/relationships" name="Build Results (PIO 2026-05-13)" sheetId="11" state="visible" r:id="rId11"/>
    <sheet xmlns:r="http://schemas.openxmlformats.org/officeDocument/2006/relationships" name="Latency (2026-05-14)" sheetId="12" state="visible" r:id="rId12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sz val="14"/>
    </font>
    <font>
      <name val="Calibri"/>
      <b val="1"/>
      <sz val="11"/>
    </font>
    <font>
      <name val="Calibri"/>
      <b val="1"/>
      <color rgb="00000000"/>
      <sz val="11"/>
    </font>
    <font>
      <name val="Calibri"/>
      <sz val="10"/>
    </font>
    <font>
      <name val="Aptos"/>
      <b val="1"/>
      <color rgb="00111827"/>
      <sz val="10"/>
    </font>
    <font>
      <name val="Aptos"/>
      <color rgb="00111827"/>
      <sz val="10"/>
    </font>
    <font>
      <name val="Aptos"/>
      <b val="1"/>
      <color rgb="00FFFFFF"/>
      <sz val="10"/>
    </font>
    <font>
      <b val="1"/>
      <color rgb="00FFFFFF"/>
    </font>
    <font>
      <b val="1"/>
      <color rgb="00006100"/>
    </font>
    <font>
      <b val="1"/>
      <color rgb="007F6000"/>
    </font>
    <font>
      <b val="1"/>
      <color rgb="009C0006"/>
    </font>
    <font>
      <b val="1"/>
    </font>
  </fonts>
  <fills count="27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D9E1F2"/>
      </patternFill>
    </fill>
    <fill>
      <patternFill patternType="solid">
        <fgColor rgb="00FFC000"/>
      </patternFill>
    </fill>
    <fill>
      <patternFill patternType="solid">
        <fgColor rgb="00FFFFCC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7FBFF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305496"/>
      </patternFill>
    </fill>
  </fills>
  <borders count="56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rgb="00CBD5E1"/>
      </left>
      <right style="thin">
        <color auto="1"/>
      </right>
      <top style="thin">
        <color rgb="00CBD5E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rgb="00CBD5E1"/>
      </top>
      <bottom style="thin">
        <color auto="1"/>
      </bottom>
    </border>
    <border>
      <left style="thin">
        <color auto="1"/>
      </left>
      <right style="thin">
        <color rgb="00CBD5E1"/>
      </right>
      <top style="thin">
        <color rgb="00CBD5E1"/>
      </top>
      <bottom style="thin">
        <color auto="1"/>
      </bottom>
    </border>
    <border>
      <left style="thin">
        <color rgb="00CBD5E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rgb="00CBD5E1"/>
      </right>
      <top style="thin">
        <color auto="1"/>
      </top>
      <bottom style="thin">
        <color auto="1"/>
      </bottom>
    </border>
    <border>
      <left style="thin">
        <color rgb="00CBD5E1"/>
      </left>
      <right style="thin">
        <color auto="1"/>
      </right>
      <top style="thin">
        <color auto="1"/>
      </top>
      <bottom style="thin">
        <color rgb="00CBD5E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rgb="00CBD5E1"/>
      </bottom>
    </border>
    <border>
      <left style="thin">
        <color auto="1"/>
      </left>
      <right style="thin">
        <color rgb="00CBD5E1"/>
      </right>
      <top style="thin">
        <color auto="1"/>
      </top>
      <bottom style="thin">
        <color rgb="00CBD5E1"/>
      </bottom>
    </border>
    <border>
      <left style="thin">
        <color rgb="00163B5C"/>
      </left>
      <right style="thin">
        <color auto="1"/>
      </right>
      <top style="thin">
        <color rgb="00163B5C"/>
      </top>
      <bottom style="thin">
        <color rgb="00163B5C"/>
      </bottom>
    </border>
    <border>
      <left style="thin">
        <color auto="1"/>
      </left>
      <right style="thin">
        <color auto="1"/>
      </right>
      <top style="thin">
        <color rgb="00163B5C"/>
      </top>
      <bottom style="thin">
        <color rgb="00163B5C"/>
      </bottom>
    </border>
    <border>
      <left style="thin">
        <color auto="1"/>
      </left>
      <right style="thin">
        <color rgb="00163B5C"/>
      </right>
      <top style="thin">
        <color rgb="00163B5C"/>
      </top>
      <bottom style="thin">
        <color rgb="00163B5C"/>
      </bottom>
    </border>
    <border>
      <left style="thin">
        <color rgb="00E2E8F0"/>
      </left>
      <right style="thin">
        <color auto="1"/>
      </right>
      <top style="thin">
        <color rgb="00E2E8F0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rgb="00E2E8F0"/>
      </top>
      <bottom style="thin">
        <color auto="1"/>
      </bottom>
    </border>
    <border>
      <left style="thin">
        <color auto="1"/>
      </left>
      <right style="thin">
        <color rgb="00E2E8F0"/>
      </right>
      <top style="thin">
        <color rgb="00E2E8F0"/>
      </top>
      <bottom style="thin">
        <color auto="1"/>
      </bottom>
    </border>
    <border>
      <left style="thin">
        <color rgb="00E2E8F0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rgb="00E2E8F0"/>
      </right>
      <top style="thin">
        <color auto="1"/>
      </top>
      <bottom style="thin">
        <color auto="1"/>
      </bottom>
    </border>
    <border>
      <left style="thin">
        <color rgb="00E2E8F0"/>
      </left>
      <right style="thin">
        <color auto="1"/>
      </right>
      <top style="thin">
        <color auto="1"/>
      </top>
      <bottom style="thin">
        <color rgb="00E2E8F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rgb="00E2E8F0"/>
      </bottom>
    </border>
    <border>
      <left style="thin">
        <color auto="1"/>
      </left>
      <right style="thin">
        <color rgb="00E2E8F0"/>
      </right>
      <top style="thin">
        <color auto="1"/>
      </top>
      <bottom style="thin">
        <color rgb="00E2E8F0"/>
      </bottom>
    </border>
    <border>
      <left style="thin">
        <color rgb="00CBD5E1"/>
      </left>
    </border>
    <border>
      <right style="thin">
        <color rgb="00CBD5E1"/>
      </right>
    </border>
    <border>
      <right style="thin">
        <color rgb="00CBD5E1"/>
      </right>
      <top style="thin">
        <color auto="1"/>
      </top>
      <bottom style="thin">
        <color auto="1"/>
      </bottom>
    </border>
    <border>
      <top style="thin">
        <color auto="1"/>
      </top>
      <bottom style="thin">
        <color rgb="00CBD5E1"/>
      </bottom>
    </border>
    <border>
      <right style="thin">
        <color rgb="00CBD5E1"/>
      </right>
      <top style="thin">
        <color auto="1"/>
      </top>
      <bottom style="thin">
        <color rgb="00CBD5E1"/>
      </bottom>
    </border>
    <border>
      <right style="thin">
        <color auto="1"/>
      </right>
      <top style="thin">
        <color auto="1"/>
      </top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163B5C"/>
      </left>
      <right style="thin">
        <color rgb="00163B5C"/>
      </right>
      <top style="thin">
        <color rgb="00163B5C"/>
      </top>
      <bottom style="thin">
        <color rgb="00163B5C"/>
      </bottom>
    </border>
    <border>
      <left style="thin">
        <color rgb="00E2E8F0"/>
      </left>
      <right style="thin">
        <color rgb="00E2E8F0"/>
      </right>
      <top style="thin">
        <color rgb="00E2E8F0"/>
      </top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  <bottom style="thin">
        <color rgb="00CBD5E1"/>
      </bottom>
    </border>
    <border>
      <left style="thin">
        <color rgb="00163B5C"/>
      </left>
      <top style="thin">
        <color rgb="00163B5C"/>
      </top>
      <bottom style="thin">
        <color rgb="00163B5C"/>
      </bottom>
    </border>
    <border>
      <top style="thin">
        <color rgb="00163B5C"/>
      </top>
      <bottom style="thin">
        <color rgb="00163B5C"/>
      </bottom>
    </border>
    <border>
      <right style="thin">
        <color rgb="00163B5C"/>
      </right>
      <top style="thin">
        <color rgb="00163B5C"/>
      </top>
      <bottom style="thin">
        <color rgb="00163B5C"/>
      </bottom>
    </border>
    <border>
      <left style="thin">
        <color rgb="00E2E8F0"/>
      </left>
      <top style="thin">
        <color rgb="00E2E8F0"/>
      </top>
    </border>
    <border>
      <top style="thin">
        <color rgb="00E2E8F0"/>
      </top>
    </border>
    <border>
      <right style="thin">
        <color rgb="00E2E8F0"/>
      </right>
      <top style="thin">
        <color rgb="00E2E8F0"/>
      </top>
    </border>
    <border>
      <left style="thin">
        <color rgb="00E2E8F0"/>
      </left>
    </border>
    <border>
      <right style="thin">
        <color rgb="00E2E8F0"/>
      </right>
    </border>
    <border>
      <left style="thin">
        <color rgb="00E2E8F0"/>
      </left>
      <bottom style="thin">
        <color rgb="00E2E8F0"/>
      </bottom>
    </border>
    <border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7" fillId="6" borderId="6" applyAlignment="1" pivotButton="0" quotePrefix="0" xfId="0">
      <alignment horizontal="center" vertical="center" wrapText="1"/>
    </xf>
    <xf numFmtId="0" fontId="7" fillId="6" borderId="7" applyAlignment="1" pivotButton="0" quotePrefix="0" xfId="0">
      <alignment horizontal="center" vertical="center" wrapText="1"/>
    </xf>
    <xf numFmtId="0" fontId="7" fillId="6" borderId="8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0" fontId="9" fillId="6" borderId="7" applyAlignment="1" pivotButton="0" quotePrefix="0" xfId="0">
      <alignment horizontal="center" vertical="center" wrapText="1"/>
    </xf>
    <xf numFmtId="0" fontId="9" fillId="6" borderId="8" applyAlignment="1" pivotButton="0" quotePrefix="0" xfId="0">
      <alignment horizontal="center" vertical="center" wrapText="1"/>
    </xf>
    <xf numFmtId="0" fontId="9" fillId="6" borderId="14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6" applyAlignment="1" pivotButton="0" quotePrefix="0" xfId="0">
      <alignment horizontal="center" vertical="center" wrapText="1"/>
    </xf>
    <xf numFmtId="0" fontId="7" fillId="3" borderId="17" applyAlignment="1" pivotButton="0" quotePrefix="0" xfId="0">
      <alignment horizontal="left" vertical="center" wrapText="1"/>
    </xf>
    <xf numFmtId="0" fontId="8" fillId="0" borderId="18" applyAlignment="1" pivotButton="0" quotePrefix="0" xfId="0">
      <alignment horizontal="left" vertical="center" wrapText="1"/>
    </xf>
    <xf numFmtId="0" fontId="8" fillId="0" borderId="19" applyAlignment="1" pivotButton="0" quotePrefix="0" xfId="0">
      <alignment horizontal="left" vertical="center" wrapText="1"/>
    </xf>
    <xf numFmtId="0" fontId="7" fillId="3" borderId="20" applyAlignment="1" pivotButton="0" quotePrefix="0" xfId="0">
      <alignment horizontal="left" vertical="center" wrapText="1"/>
    </xf>
    <xf numFmtId="0" fontId="8" fillId="0" borderId="21" applyAlignment="1" pivotButton="0" quotePrefix="0" xfId="0">
      <alignment horizontal="left" vertical="center" wrapText="1"/>
    </xf>
    <xf numFmtId="0" fontId="7" fillId="3" borderId="22" applyAlignment="1" pivotButton="0" quotePrefix="0" xfId="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4" applyAlignment="1" pivotButton="0" quotePrefix="0" xfId="0">
      <alignment horizontal="left" vertical="center" wrapText="1"/>
    </xf>
    <xf numFmtId="0" fontId="7" fillId="7" borderId="2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21" applyAlignment="1" pivotButton="0" quotePrefix="0" xfId="0">
      <alignment horizontal="left" vertical="center" wrapText="1"/>
    </xf>
    <xf numFmtId="0" fontId="7" fillId="7" borderId="22" applyAlignment="1" pivotButton="0" quotePrefix="0" xfId="0">
      <alignment horizontal="left" vertical="center" wrapText="1"/>
    </xf>
    <xf numFmtId="0" fontId="8" fillId="7" borderId="23" applyAlignment="1" pivotButton="0" quotePrefix="0" xfId="0">
      <alignment horizontal="left" vertical="center" wrapText="1"/>
    </xf>
    <xf numFmtId="0" fontId="8" fillId="7" borderId="24" applyAlignment="1" pivotButton="0" quotePrefix="0" xfId="0">
      <alignment horizontal="left" vertical="center" wrapText="1"/>
    </xf>
    <xf numFmtId="1" fontId="8" fillId="0" borderId="19" applyAlignment="1" pivotButton="0" quotePrefix="0" xfId="0">
      <alignment horizontal="left" vertical="center" wrapText="1"/>
    </xf>
    <xf numFmtId="1" fontId="8" fillId="7" borderId="21" applyAlignment="1" pivotButton="0" quotePrefix="0" xfId="0">
      <alignment horizontal="left" vertical="center" wrapText="1"/>
    </xf>
    <xf numFmtId="1" fontId="8" fillId="0" borderId="21" applyAlignment="1" pivotButton="0" quotePrefix="0" xfId="0">
      <alignment horizontal="left" vertical="center" wrapText="1"/>
    </xf>
    <xf numFmtId="1" fontId="8" fillId="7" borderId="24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4" borderId="1" applyAlignment="1" pivotButton="0" quotePrefix="0" xfId="0">
      <alignment horizontal="left" vertical="center"/>
    </xf>
    <xf numFmtId="0" fontId="8" fillId="0" borderId="2" pivotButton="0" quotePrefix="0" xfId="0"/>
    <xf numFmtId="0" fontId="8" fillId="0" borderId="3" pivotButton="0" quotePrefix="0" xfId="0"/>
    <xf numFmtId="0" fontId="8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wrapText="1"/>
    </xf>
    <xf numFmtId="0" fontId="7" fillId="4" borderId="1" applyAlignment="1" pivotButton="0" quotePrefix="0" xfId="0">
      <alignment horizontal="left" vertical="center" wrapText="1"/>
    </xf>
    <xf numFmtId="0" fontId="8" fillId="0" borderId="2" applyAlignment="1" pivotButton="0" quotePrefix="0" xfId="0">
      <alignment wrapText="1"/>
    </xf>
    <xf numFmtId="0" fontId="8" fillId="0" borderId="3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25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0" fontId="7" fillId="4" borderId="9" applyAlignment="1" pivotButton="0" quotePrefix="0" xfId="0">
      <alignment horizontal="left" vertical="center" wrapText="1"/>
    </xf>
    <xf numFmtId="0" fontId="8" fillId="0" borderId="27" applyAlignment="1" pivotButton="0" quotePrefix="0" xfId="0">
      <alignment vertical="center" wrapText="1"/>
    </xf>
    <xf numFmtId="0" fontId="8" fillId="5" borderId="9" applyAlignment="1" pivotButton="0" quotePrefix="0" xfId="0">
      <alignment horizontal="left" vertical="center" wrapText="1"/>
    </xf>
    <xf numFmtId="0" fontId="8" fillId="5" borderId="11" applyAlignment="1" pivotButton="0" quotePrefix="0" xfId="0">
      <alignment horizontal="left" vertical="center" wrapText="1"/>
    </xf>
    <xf numFmtId="0" fontId="8" fillId="0" borderId="28" applyAlignment="1" pivotButton="0" quotePrefix="0" xfId="0">
      <alignment vertical="center" wrapText="1"/>
    </xf>
    <xf numFmtId="0" fontId="8" fillId="0" borderId="29" applyAlignment="1" pivotButton="0" quotePrefix="0" xfId="0">
      <alignment vertical="center" wrapText="1"/>
    </xf>
    <xf numFmtId="0" fontId="7" fillId="4" borderId="1" pivotButton="0" quotePrefix="0" xfId="0"/>
    <xf numFmtId="0" fontId="7" fillId="4" borderId="1" applyAlignment="1" pivotButton="0" quotePrefix="0" xfId="0">
      <alignment wrapText="1"/>
    </xf>
    <xf numFmtId="0" fontId="7" fillId="4" borderId="1" applyAlignment="1" pivotButton="0" quotePrefix="0" xfId="0">
      <alignment vertical="center" wrapText="1"/>
    </xf>
    <xf numFmtId="0" fontId="7" fillId="4" borderId="9" applyAlignment="1" pivotButton="0" quotePrefix="0" xfId="0">
      <alignment vertical="center" wrapText="1"/>
    </xf>
    <xf numFmtId="0" fontId="8" fillId="0" borderId="30" applyAlignment="1" pivotButton="0" quotePrefix="0" xfId="0">
      <alignment vertical="center" wrapText="1"/>
    </xf>
    <xf numFmtId="0" fontId="8" fillId="0" borderId="31" applyAlignment="1" pivotButton="0" quotePrefix="0" xfId="0">
      <alignment vertical="center" wrapText="1"/>
    </xf>
    <xf numFmtId="0" fontId="8" fillId="0" borderId="32" applyAlignment="1" pivotButton="0" quotePrefix="0" xfId="0">
      <alignment vertical="center" wrapText="1"/>
    </xf>
    <xf numFmtId="1" fontId="8" fillId="0" borderId="18" applyAlignment="1" pivotButton="0" quotePrefix="0" xfId="0">
      <alignment horizontal="left" vertical="center" wrapText="1"/>
    </xf>
    <xf numFmtId="1" fontId="8" fillId="7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left" vertical="center" wrapText="1"/>
    </xf>
    <xf numFmtId="1" fontId="8" fillId="7" borderId="2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33" applyAlignment="1" pivotButton="0" quotePrefix="0" xfId="0">
      <alignment horizontal="left" vertical="center" wrapText="1"/>
    </xf>
    <xf numFmtId="0" fontId="8" fillId="0" borderId="34" applyAlignment="1" pivotButton="0" quotePrefix="0" xfId="0">
      <alignment horizontal="left" vertical="center" wrapText="1"/>
    </xf>
    <xf numFmtId="0" fontId="7" fillId="0" borderId="34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7" fillId="6" borderId="33" applyAlignment="1" pivotButton="0" quotePrefix="0" xfId="0">
      <alignment horizontal="left" vertical="center" wrapText="1"/>
    </xf>
    <xf numFmtId="0" fontId="9" fillId="6" borderId="33" applyAlignment="1" pivotButton="0" quotePrefix="0" xfId="0">
      <alignment horizontal="left" vertical="center" wrapText="1"/>
    </xf>
    <xf numFmtId="0" fontId="9" fillId="6" borderId="33" applyAlignment="1" pivotButton="0" quotePrefix="0" xfId="0">
      <alignment horizontal="center" vertical="center" wrapText="1"/>
    </xf>
    <xf numFmtId="0" fontId="9" fillId="6" borderId="36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left" vertical="center" wrapText="1"/>
    </xf>
    <xf numFmtId="0" fontId="8" fillId="0" borderId="38" applyAlignment="1" pivotButton="0" quotePrefix="0" xfId="0">
      <alignment horizontal="left" vertical="center" wrapText="1"/>
    </xf>
    <xf numFmtId="0" fontId="7" fillId="0" borderId="38" applyAlignment="1" pivotButton="0" quotePrefix="0" xfId="0">
      <alignment horizontal="left" vertical="center" wrapText="1"/>
    </xf>
    <xf numFmtId="0" fontId="8" fillId="0" borderId="39" applyAlignment="1" pivotButton="0" quotePrefix="0" xfId="0">
      <alignment horizontal="left" vertical="center" wrapText="1"/>
    </xf>
    <xf numFmtId="0" fontId="8" fillId="7" borderId="38" applyAlignment="1" pivotButton="0" quotePrefix="0" xfId="0">
      <alignment horizontal="left" vertical="center" wrapText="1"/>
    </xf>
    <xf numFmtId="0" fontId="7" fillId="7" borderId="38" applyAlignment="1" pivotButton="0" quotePrefix="0" xfId="0">
      <alignment horizontal="left" vertical="center" wrapText="1"/>
    </xf>
    <xf numFmtId="0" fontId="8" fillId="7" borderId="39" applyAlignment="1" pivotButton="0" quotePrefix="0" xfId="0">
      <alignment horizontal="left" vertical="center" wrapText="1"/>
    </xf>
    <xf numFmtId="0" fontId="8" fillId="0" borderId="40" applyAlignment="1" pivotButton="0" quotePrefix="0" xfId="0">
      <alignment vertical="center" wrapText="1"/>
    </xf>
    <xf numFmtId="0" fontId="8" fillId="0" borderId="41" applyAlignment="1" pivotButton="0" quotePrefix="0" xfId="0">
      <alignment vertical="center" wrapText="1"/>
    </xf>
    <xf numFmtId="0" fontId="8" fillId="0" borderId="42" applyAlignment="1" pivotButton="0" quotePrefix="0" xfId="0">
      <alignment vertical="center" wrapText="1"/>
    </xf>
    <xf numFmtId="0" fontId="8" fillId="0" borderId="43" applyAlignment="1" pivotButton="0" quotePrefix="0" xfId="0">
      <alignment vertical="center" wrapText="1"/>
    </xf>
    <xf numFmtId="0" fontId="8" fillId="6" borderId="40" applyAlignment="1" pivotButton="0" quotePrefix="0" xfId="0">
      <alignment vertical="center" wrapText="1"/>
    </xf>
    <xf numFmtId="0" fontId="8" fillId="6" borderId="41" applyAlignment="1" pivotButton="0" quotePrefix="0" xfId="0">
      <alignment vertical="center" wrapText="1"/>
    </xf>
    <xf numFmtId="0" fontId="8" fillId="6" borderId="42" applyAlignment="1" pivotButton="0" quotePrefix="0" xfId="0">
      <alignment vertical="center" wrapText="1"/>
    </xf>
    <xf numFmtId="0" fontId="9" fillId="6" borderId="40" applyAlignment="1" pivotButton="0" quotePrefix="0" xfId="0">
      <alignment vertical="center" wrapText="1"/>
    </xf>
    <xf numFmtId="0" fontId="9" fillId="6" borderId="41" applyAlignment="1" pivotButton="0" quotePrefix="0" xfId="0">
      <alignment vertical="center" wrapText="1"/>
    </xf>
    <xf numFmtId="0" fontId="9" fillId="6" borderId="42" applyAlignment="1" pivotButton="0" quotePrefix="0" xfId="0">
      <alignment vertical="center" wrapText="1"/>
    </xf>
    <xf numFmtId="0" fontId="9" fillId="6" borderId="40" applyAlignment="1" pivotButton="0" quotePrefix="0" xfId="0">
      <alignment horizontal="center" vertical="center" wrapText="1"/>
    </xf>
    <xf numFmtId="0" fontId="9" fillId="6" borderId="41" applyAlignment="1" pivotButton="0" quotePrefix="0" xfId="0">
      <alignment horizontal="center" vertical="center" wrapText="1"/>
    </xf>
    <xf numFmtId="0" fontId="9" fillId="6" borderId="42" applyAlignment="1" pivotButton="0" quotePrefix="0" xfId="0">
      <alignment horizontal="center" vertical="center" wrapText="1"/>
    </xf>
    <xf numFmtId="0" fontId="9" fillId="6" borderId="44" applyAlignment="1" pivotButton="0" quotePrefix="0" xfId="0">
      <alignment horizontal="center" vertical="center" wrapText="1"/>
    </xf>
    <xf numFmtId="0" fontId="9" fillId="6" borderId="45" applyAlignment="1" pivotButton="0" quotePrefix="0" xfId="0">
      <alignment horizontal="center" vertical="center" wrapText="1"/>
    </xf>
    <xf numFmtId="0" fontId="9" fillId="6" borderId="46" applyAlignment="1" pivotButton="0" quotePrefix="0" xfId="0">
      <alignment horizontal="center" vertical="center" wrapText="1"/>
    </xf>
    <xf numFmtId="0" fontId="8" fillId="0" borderId="47" applyAlignment="1" pivotButton="0" quotePrefix="0" xfId="0">
      <alignment vertical="center" wrapText="1"/>
    </xf>
    <xf numFmtId="0" fontId="8" fillId="0" borderId="48" applyAlignment="1" pivotButton="0" quotePrefix="0" xfId="0">
      <alignment vertical="center" wrapText="1"/>
    </xf>
    <xf numFmtId="0" fontId="8" fillId="0" borderId="49" applyAlignment="1" pivotButton="0" quotePrefix="0" xfId="0">
      <alignment vertical="center" wrapText="1"/>
    </xf>
    <xf numFmtId="0" fontId="8" fillId="0" borderId="50" applyAlignment="1" pivotButton="0" quotePrefix="0" xfId="0">
      <alignment vertical="center" wrapText="1"/>
    </xf>
    <xf numFmtId="0" fontId="8" fillId="0" borderId="51" applyAlignment="1" pivotButton="0" quotePrefix="0" xfId="0">
      <alignment vertical="center" wrapText="1"/>
    </xf>
    <xf numFmtId="0" fontId="8" fillId="0" borderId="52" applyAlignment="1" pivotButton="0" quotePrefix="0" xfId="0">
      <alignment vertical="center" wrapText="1"/>
    </xf>
    <xf numFmtId="0" fontId="8" fillId="0" borderId="53" applyAlignment="1" pivotButton="0" quotePrefix="0" xfId="0">
      <alignment vertical="center" wrapText="1"/>
    </xf>
    <xf numFmtId="0" fontId="8" fillId="0" borderId="54" applyAlignment="1" pivotButton="0" quotePrefix="0" xfId="0">
      <alignment vertical="center" wrapText="1"/>
    </xf>
    <xf numFmtId="0" fontId="8" fillId="7" borderId="5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8" fillId="7" borderId="51" applyAlignment="1" pivotButton="0" quotePrefix="0" xfId="0">
      <alignment vertical="center" wrapText="1"/>
    </xf>
    <xf numFmtId="0" fontId="8" fillId="7" borderId="52" applyAlignment="1" pivotButton="0" quotePrefix="0" xfId="0">
      <alignment vertical="center" wrapText="1"/>
    </xf>
    <xf numFmtId="0" fontId="8" fillId="7" borderId="53" applyAlignment="1" pivotButton="0" quotePrefix="0" xfId="0">
      <alignment vertical="center" wrapText="1"/>
    </xf>
    <xf numFmtId="0" fontId="8" fillId="7" borderId="54" applyAlignment="1" pivotButton="0" quotePrefix="0" xfId="0">
      <alignment vertical="center" wrapText="1"/>
    </xf>
    <xf numFmtId="9" fontId="8" fillId="0" borderId="48" applyAlignment="1" pivotButton="0" quotePrefix="0" xfId="0">
      <alignment vertical="center" wrapText="1"/>
    </xf>
    <xf numFmtId="9" fontId="8" fillId="7" borderId="0" applyAlignment="1" pivotButton="0" quotePrefix="0" xfId="0">
      <alignment vertical="center" wrapText="1"/>
    </xf>
    <xf numFmtId="9" fontId="8" fillId="0" borderId="0" applyAlignment="1" pivotButton="0" quotePrefix="0" xfId="0">
      <alignment vertical="center" wrapText="1"/>
    </xf>
    <xf numFmtId="164" fontId="8" fillId="0" borderId="48" applyAlignment="1" pivotButton="0" quotePrefix="0" xfId="0">
      <alignment vertical="center" wrapText="1"/>
    </xf>
    <xf numFmtId="164" fontId="8" fillId="7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3" fontId="8" fillId="0" borderId="48" applyAlignment="1" pivotButton="0" quotePrefix="0" xfId="0">
      <alignment vertical="center" wrapText="1"/>
    </xf>
    <xf numFmtId="3" fontId="8" fillId="7" borderId="0" applyAlignment="1" pivotButton="0" quotePrefix="0" xfId="0">
      <alignment vertical="center" wrapText="1"/>
    </xf>
    <xf numFmtId="3" fontId="8" fillId="0" borderId="0" applyAlignment="1" pivotButton="0" quotePrefix="0" xfId="0">
      <alignment vertical="center" wrapText="1"/>
    </xf>
    <xf numFmtId="3" fontId="8" fillId="7" borderId="53" applyAlignment="1" pivotButton="0" quotePrefix="0" xfId="0">
      <alignment vertical="center" wrapText="1"/>
    </xf>
    <xf numFmtId="164" fontId="8" fillId="7" borderId="53" applyAlignment="1" pivotButton="0" quotePrefix="0" xfId="0">
      <alignment vertical="center" wrapText="1"/>
    </xf>
    <xf numFmtId="164" fontId="8" fillId="0" borderId="49" applyAlignment="1" pivotButton="0" quotePrefix="0" xfId="0">
      <alignment vertical="center" wrapText="1"/>
    </xf>
    <xf numFmtId="164" fontId="8" fillId="7" borderId="51" applyAlignment="1" pivotButton="0" quotePrefix="0" xfId="0">
      <alignment vertical="center" wrapText="1"/>
    </xf>
    <xf numFmtId="164" fontId="8" fillId="0" borderId="51" applyAlignment="1" pivotButton="0" quotePrefix="0" xfId="0">
      <alignment vertical="center" wrapText="1"/>
    </xf>
    <xf numFmtId="164" fontId="8" fillId="7" borderId="54" applyAlignment="1" pivotButton="0" quotePrefix="0" xfId="0">
      <alignment vertical="center" wrapText="1"/>
    </xf>
    <xf numFmtId="0" fontId="8" fillId="8" borderId="40" applyAlignment="1" pivotButton="0" quotePrefix="0" xfId="0">
      <alignment vertical="center" wrapText="1"/>
    </xf>
    <xf numFmtId="0" fontId="8" fillId="8" borderId="41" applyAlignment="1" pivotButton="0" quotePrefix="0" xfId="0">
      <alignment vertical="center" wrapText="1"/>
    </xf>
    <xf numFmtId="0" fontId="8" fillId="8" borderId="42" applyAlignment="1" pivotButton="0" quotePrefix="0" xfId="0">
      <alignment vertical="center" wrapText="1"/>
    </xf>
    <xf numFmtId="0" fontId="9" fillId="8" borderId="40" applyAlignment="1" pivotButton="0" quotePrefix="0" xfId="0">
      <alignment vertical="center" wrapText="1"/>
    </xf>
    <xf numFmtId="0" fontId="9" fillId="8" borderId="41" applyAlignment="1" pivotButton="0" quotePrefix="0" xfId="0">
      <alignment vertical="center" wrapText="1"/>
    </xf>
    <xf numFmtId="0" fontId="9" fillId="8" borderId="42" applyAlignment="1" pivotButton="0" quotePrefix="0" xfId="0">
      <alignment vertical="center" wrapText="1"/>
    </xf>
    <xf numFmtId="0" fontId="9" fillId="8" borderId="40" applyAlignment="1" pivotButton="0" quotePrefix="0" xfId="0">
      <alignment horizontal="center" vertical="center" wrapText="1"/>
    </xf>
    <xf numFmtId="0" fontId="9" fillId="8" borderId="41" applyAlignment="1" pivotButton="0" quotePrefix="0" xfId="0">
      <alignment horizontal="center" vertical="center" wrapText="1"/>
    </xf>
    <xf numFmtId="0" fontId="9" fillId="8" borderId="42" applyAlignment="1" pivotButton="0" quotePrefix="0" xfId="0">
      <alignment horizontal="center" vertical="center" wrapText="1"/>
    </xf>
    <xf numFmtId="0" fontId="9" fillId="8" borderId="44" applyAlignment="1" pivotButton="0" quotePrefix="0" xfId="0">
      <alignment horizontal="center" vertical="center" wrapText="1"/>
    </xf>
    <xf numFmtId="0" fontId="9" fillId="8" borderId="45" applyAlignment="1" pivotButton="0" quotePrefix="0" xfId="0">
      <alignment horizontal="center" vertical="center" wrapText="1"/>
    </xf>
    <xf numFmtId="0" fontId="9" fillId="8" borderId="46" applyAlignment="1" pivotButton="0" quotePrefix="0" xfId="0">
      <alignment horizontal="center" vertical="center" wrapText="1"/>
    </xf>
    <xf numFmtId="0" fontId="8" fillId="9" borderId="50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  <xf numFmtId="0" fontId="8" fillId="9" borderId="51" applyAlignment="1" pivotButton="0" quotePrefix="0" xfId="0">
      <alignment vertical="center" wrapText="1"/>
    </xf>
    <xf numFmtId="0" fontId="8" fillId="9" borderId="52" applyAlignment="1" pivotButton="0" quotePrefix="0" xfId="0">
      <alignment vertical="center" wrapText="1"/>
    </xf>
    <xf numFmtId="0" fontId="8" fillId="9" borderId="53" applyAlignment="1" pivotButton="0" quotePrefix="0" xfId="0">
      <alignment vertical="center" wrapText="1"/>
    </xf>
    <xf numFmtId="0" fontId="8" fillId="9" borderId="54" applyAlignment="1" pivotButton="0" quotePrefix="0" xfId="0">
      <alignment vertical="center" wrapText="1"/>
    </xf>
    <xf numFmtId="1" fontId="8" fillId="0" borderId="49" applyAlignment="1" pivotButton="0" quotePrefix="0" xfId="0">
      <alignment vertical="center" wrapText="1"/>
    </xf>
    <xf numFmtId="1" fontId="8" fillId="9" borderId="51" applyAlignment="1" pivotButton="0" quotePrefix="0" xfId="0">
      <alignment vertical="center" wrapText="1"/>
    </xf>
    <xf numFmtId="1" fontId="8" fillId="0" borderId="51" applyAlignment="1" pivotButton="0" quotePrefix="0" xfId="0">
      <alignment vertical="center" wrapText="1"/>
    </xf>
    <xf numFmtId="1" fontId="8" fillId="9" borderId="54" applyAlignment="1" pivotButton="0" quotePrefix="0" xfId="0">
      <alignment vertical="center" wrapText="1"/>
    </xf>
    <xf numFmtId="1" fontId="8" fillId="0" borderId="48" applyAlignment="1" pivotButton="0" quotePrefix="0" xfId="0">
      <alignment vertical="center" wrapText="1"/>
    </xf>
    <xf numFmtId="1" fontId="8" fillId="9" borderId="0" applyAlignment="1" pivotButton="0" quotePrefix="0" xfId="0">
      <alignment vertical="center" wrapText="1"/>
    </xf>
    <xf numFmtId="1" fontId="8" fillId="0" borderId="0" applyAlignment="1" pivotButton="0" quotePrefix="0" xfId="0">
      <alignment vertical="center" wrapText="1"/>
    </xf>
    <xf numFmtId="1" fontId="8" fillId="9" borderId="53" applyAlignment="1" pivotButton="0" quotePrefix="0" xfId="0">
      <alignment vertical="center" wrapText="1"/>
    </xf>
    <xf numFmtId="0" fontId="8" fillId="0" borderId="33" applyAlignment="1" pivotButton="0" quotePrefix="0" xfId="0">
      <alignment vertical="center" wrapText="1"/>
    </xf>
    <xf numFmtId="0" fontId="8" fillId="0" borderId="34" applyAlignment="1" pivotButton="0" quotePrefix="0" xfId="0">
      <alignment vertical="center" wrapText="1"/>
    </xf>
    <xf numFmtId="0" fontId="8" fillId="0" borderId="35" applyAlignment="1" pivotButton="0" quotePrefix="0" xfId="0">
      <alignment vertical="center" wrapText="1"/>
    </xf>
    <xf numFmtId="0" fontId="8" fillId="8" borderId="33" applyAlignment="1" pivotButton="0" quotePrefix="0" xfId="0">
      <alignment vertical="center" wrapText="1"/>
    </xf>
    <xf numFmtId="0" fontId="9" fillId="8" borderId="33" applyAlignment="1" pivotButton="0" quotePrefix="0" xfId="0">
      <alignment vertical="center" wrapText="1"/>
    </xf>
    <xf numFmtId="0" fontId="9" fillId="8" borderId="33" applyAlignment="1" pivotButton="0" quotePrefix="0" xfId="0">
      <alignment horizontal="center" vertical="center" wrapText="1"/>
    </xf>
    <xf numFmtId="0" fontId="9" fillId="8" borderId="36" applyAlignment="1" pivotButton="0" quotePrefix="0" xfId="0">
      <alignment horizontal="center" vertical="center" wrapText="1"/>
    </xf>
    <xf numFmtId="0" fontId="8" fillId="0" borderId="37" applyAlignment="1" pivotButton="0" quotePrefix="0" xfId="0">
      <alignment vertical="center" wrapText="1"/>
    </xf>
    <xf numFmtId="0" fontId="8" fillId="0" borderId="38" applyAlignment="1" pivotButton="0" quotePrefix="0" xfId="0">
      <alignment vertical="center" wrapText="1"/>
    </xf>
    <xf numFmtId="0" fontId="8" fillId="0" borderId="39" applyAlignment="1" pivotButton="0" quotePrefix="0" xfId="0">
      <alignment vertical="center" wrapText="1"/>
    </xf>
    <xf numFmtId="0" fontId="8" fillId="9" borderId="38" applyAlignment="1" pivotButton="0" quotePrefix="0" xfId="0">
      <alignment vertical="center" wrapText="1"/>
    </xf>
    <xf numFmtId="0" fontId="8" fillId="9" borderId="39" applyAlignment="1" pivotButton="0" quotePrefix="0" xfId="0">
      <alignment vertical="center" wrapText="1"/>
    </xf>
    <xf numFmtId="9" fontId="8" fillId="9" borderId="0" applyAlignment="1" pivotButton="0" quotePrefix="0" xfId="0">
      <alignment vertical="center" wrapText="1"/>
    </xf>
    <xf numFmtId="164" fontId="8" fillId="9" borderId="0" applyAlignment="1" pivotButton="0" quotePrefix="0" xfId="0">
      <alignment vertical="center" wrapText="1"/>
    </xf>
    <xf numFmtId="3" fontId="8" fillId="9" borderId="0" applyAlignment="1" pivotButton="0" quotePrefix="0" xfId="0">
      <alignment vertical="center" wrapText="1"/>
    </xf>
    <xf numFmtId="3" fontId="8" fillId="9" borderId="53" applyAlignment="1" pivotButton="0" quotePrefix="0" xfId="0">
      <alignment vertical="center" wrapText="1"/>
    </xf>
    <xf numFmtId="164" fontId="8" fillId="9" borderId="53" applyAlignment="1" pivotButton="0" quotePrefix="0" xfId="0">
      <alignment vertical="center" wrapText="1"/>
    </xf>
    <xf numFmtId="164" fontId="8" fillId="9" borderId="51" applyAlignment="1" pivotButton="0" quotePrefix="0" xfId="0">
      <alignment vertical="center" wrapText="1"/>
    </xf>
    <xf numFmtId="164" fontId="8" fillId="9" borderId="54" applyAlignment="1" pivotButton="0" quotePrefix="0" xfId="0">
      <alignment vertical="center" wrapText="1"/>
    </xf>
    <xf numFmtId="0" fontId="8" fillId="10" borderId="40" applyAlignment="1" pivotButton="0" quotePrefix="0" xfId="0">
      <alignment vertical="center" wrapText="1"/>
    </xf>
    <xf numFmtId="0" fontId="8" fillId="10" borderId="41" applyAlignment="1" pivotButton="0" quotePrefix="0" xfId="0">
      <alignment vertical="center" wrapText="1"/>
    </xf>
    <xf numFmtId="0" fontId="8" fillId="10" borderId="42" applyAlignment="1" pivotButton="0" quotePrefix="0" xfId="0">
      <alignment vertical="center" wrapText="1"/>
    </xf>
    <xf numFmtId="0" fontId="9" fillId="10" borderId="40" applyAlignment="1" pivotButton="0" quotePrefix="0" xfId="0">
      <alignment vertical="center" wrapText="1"/>
    </xf>
    <xf numFmtId="0" fontId="9" fillId="10" borderId="41" applyAlignment="1" pivotButton="0" quotePrefix="0" xfId="0">
      <alignment vertical="center" wrapText="1"/>
    </xf>
    <xf numFmtId="0" fontId="9" fillId="10" borderId="42" applyAlignment="1" pivotButton="0" quotePrefix="0" xfId="0">
      <alignment vertical="center" wrapText="1"/>
    </xf>
    <xf numFmtId="0" fontId="9" fillId="10" borderId="40" applyAlignment="1" pivotButton="0" quotePrefix="0" xfId="0">
      <alignment horizontal="center" vertical="center" wrapText="1"/>
    </xf>
    <xf numFmtId="0" fontId="9" fillId="10" borderId="41" applyAlignment="1" pivotButton="0" quotePrefix="0" xfId="0">
      <alignment horizontal="center" vertical="center" wrapText="1"/>
    </xf>
    <xf numFmtId="0" fontId="9" fillId="10" borderId="42" applyAlignment="1" pivotButton="0" quotePrefix="0" xfId="0">
      <alignment horizontal="center" vertical="center" wrapText="1"/>
    </xf>
    <xf numFmtId="0" fontId="9" fillId="10" borderId="44" applyAlignment="1" pivotButton="0" quotePrefix="0" xfId="0">
      <alignment horizontal="center" vertical="center" wrapText="1"/>
    </xf>
    <xf numFmtId="0" fontId="9" fillId="10" borderId="45" applyAlignment="1" pivotButton="0" quotePrefix="0" xfId="0">
      <alignment horizontal="center" vertical="center" wrapText="1"/>
    </xf>
    <xf numFmtId="0" fontId="9" fillId="10" borderId="46" applyAlignment="1" pivotButton="0" quotePrefix="0" xfId="0">
      <alignment horizontal="center" vertical="center" wrapText="1"/>
    </xf>
    <xf numFmtId="0" fontId="8" fillId="11" borderId="50" applyAlignment="1" pivotButton="0" quotePrefix="0" xfId="0">
      <alignment vertical="center" wrapText="1"/>
    </xf>
    <xf numFmtId="0" fontId="8" fillId="11" borderId="0" applyAlignment="1" pivotButton="0" quotePrefix="0" xfId="0">
      <alignment vertical="center" wrapText="1"/>
    </xf>
    <xf numFmtId="0" fontId="8" fillId="11" borderId="51" applyAlignment="1" pivotButton="0" quotePrefix="0" xfId="0">
      <alignment vertical="center" wrapText="1"/>
    </xf>
    <xf numFmtId="0" fontId="8" fillId="11" borderId="52" applyAlignment="1" pivotButton="0" quotePrefix="0" xfId="0">
      <alignment vertical="center" wrapText="1"/>
    </xf>
    <xf numFmtId="0" fontId="8" fillId="11" borderId="53" applyAlignment="1" pivotButton="0" quotePrefix="0" xfId="0">
      <alignment vertical="center" wrapText="1"/>
    </xf>
    <xf numFmtId="0" fontId="8" fillId="11" borderId="54" applyAlignment="1" pivotButton="0" quotePrefix="0" xfId="0">
      <alignment vertical="center" wrapText="1"/>
    </xf>
    <xf numFmtId="1" fontId="8" fillId="11" borderId="51" applyAlignment="1" pivotButton="0" quotePrefix="0" xfId="0">
      <alignment vertical="center" wrapText="1"/>
    </xf>
    <xf numFmtId="1" fontId="8" fillId="11" borderId="54" applyAlignment="1" pivotButton="0" quotePrefix="0" xfId="0">
      <alignment vertical="center" wrapText="1"/>
    </xf>
    <xf numFmtId="1" fontId="8" fillId="11" borderId="0" applyAlignment="1" pivotButton="0" quotePrefix="0" xfId="0">
      <alignment vertical="center" wrapText="1"/>
    </xf>
    <xf numFmtId="1" fontId="8" fillId="11" borderId="53" applyAlignment="1" pivotButton="0" quotePrefix="0" xfId="0">
      <alignment vertical="center" wrapText="1"/>
    </xf>
    <xf numFmtId="0" fontId="8" fillId="10" borderId="33" applyAlignment="1" pivotButton="0" quotePrefix="0" xfId="0">
      <alignment vertical="center" wrapText="1"/>
    </xf>
    <xf numFmtId="0" fontId="9" fillId="10" borderId="33" applyAlignment="1" pivotButton="0" quotePrefix="0" xfId="0">
      <alignment vertical="center" wrapText="1"/>
    </xf>
    <xf numFmtId="0" fontId="9" fillId="10" borderId="33" applyAlignment="1" pivotButton="0" quotePrefix="0" xfId="0">
      <alignment horizontal="center" vertical="center" wrapText="1"/>
    </xf>
    <xf numFmtId="0" fontId="9" fillId="10" borderId="36" applyAlignment="1" pivotButton="0" quotePrefix="0" xfId="0">
      <alignment horizontal="center" vertical="center" wrapText="1"/>
    </xf>
    <xf numFmtId="0" fontId="8" fillId="11" borderId="38" applyAlignment="1" pivotButton="0" quotePrefix="0" xfId="0">
      <alignment vertical="center" wrapText="1"/>
    </xf>
    <xf numFmtId="0" fontId="8" fillId="11" borderId="39" applyAlignment="1" pivotButton="0" quotePrefix="0" xfId="0">
      <alignment vertical="center" wrapText="1"/>
    </xf>
    <xf numFmtId="9" fontId="8" fillId="11" borderId="0" applyAlignment="1" pivotButton="0" quotePrefix="0" xfId="0">
      <alignment vertical="center" wrapText="1"/>
    </xf>
    <xf numFmtId="164" fontId="8" fillId="11" borderId="0" applyAlignment="1" pivotButton="0" quotePrefix="0" xfId="0">
      <alignment vertical="center" wrapText="1"/>
    </xf>
    <xf numFmtId="3" fontId="8" fillId="11" borderId="0" applyAlignment="1" pivotButton="0" quotePrefix="0" xfId="0">
      <alignment vertical="center" wrapText="1"/>
    </xf>
    <xf numFmtId="3" fontId="8" fillId="11" borderId="53" applyAlignment="1" pivotButton="0" quotePrefix="0" xfId="0">
      <alignment vertical="center" wrapText="1"/>
    </xf>
    <xf numFmtId="164" fontId="8" fillId="11" borderId="53" applyAlignment="1" pivotButton="0" quotePrefix="0" xfId="0">
      <alignment vertical="center" wrapText="1"/>
    </xf>
    <xf numFmtId="164" fontId="8" fillId="11" borderId="51" applyAlignment="1" pivotButton="0" quotePrefix="0" xfId="0">
      <alignment vertical="center" wrapText="1"/>
    </xf>
    <xf numFmtId="164" fontId="8" fillId="11" borderId="54" applyAlignment="1" pivotButton="0" quotePrefix="0" xfId="0">
      <alignment vertical="center" wrapText="1"/>
    </xf>
    <xf numFmtId="0" fontId="8" fillId="12" borderId="40" applyAlignment="1" pivotButton="0" quotePrefix="0" xfId="0">
      <alignment vertical="center" wrapText="1"/>
    </xf>
    <xf numFmtId="0" fontId="8" fillId="12" borderId="41" applyAlignment="1" pivotButton="0" quotePrefix="0" xfId="0">
      <alignment vertical="center" wrapText="1"/>
    </xf>
    <xf numFmtId="0" fontId="8" fillId="12" borderId="42" applyAlignment="1" pivotButton="0" quotePrefix="0" xfId="0">
      <alignment vertical="center" wrapText="1"/>
    </xf>
    <xf numFmtId="0" fontId="9" fillId="12" borderId="40" applyAlignment="1" pivotButton="0" quotePrefix="0" xfId="0">
      <alignment vertical="center" wrapText="1"/>
    </xf>
    <xf numFmtId="0" fontId="9" fillId="12" borderId="41" applyAlignment="1" pivotButton="0" quotePrefix="0" xfId="0">
      <alignment vertical="center" wrapText="1"/>
    </xf>
    <xf numFmtId="0" fontId="9" fillId="12" borderId="42" applyAlignment="1" pivotButton="0" quotePrefix="0" xfId="0">
      <alignment vertical="center" wrapText="1"/>
    </xf>
    <xf numFmtId="0" fontId="9" fillId="12" borderId="40" applyAlignment="1" pivotButton="0" quotePrefix="0" xfId="0">
      <alignment horizontal="center" vertical="center" wrapText="1"/>
    </xf>
    <xf numFmtId="0" fontId="9" fillId="12" borderId="41" applyAlignment="1" pivotButton="0" quotePrefix="0" xfId="0">
      <alignment horizontal="center" vertical="center" wrapText="1"/>
    </xf>
    <xf numFmtId="0" fontId="9" fillId="12" borderId="42" applyAlignment="1" pivotButton="0" quotePrefix="0" xfId="0">
      <alignment horizontal="center" vertical="center" wrapText="1"/>
    </xf>
    <xf numFmtId="0" fontId="9" fillId="12" borderId="44" applyAlignment="1" pivotButton="0" quotePrefix="0" xfId="0">
      <alignment horizontal="center" vertical="center" wrapText="1"/>
    </xf>
    <xf numFmtId="0" fontId="9" fillId="12" borderId="45" applyAlignment="1" pivotButton="0" quotePrefix="0" xfId="0">
      <alignment horizontal="center" vertical="center" wrapText="1"/>
    </xf>
    <xf numFmtId="0" fontId="9" fillId="12" borderId="46" applyAlignment="1" pivotButton="0" quotePrefix="0" xfId="0">
      <alignment horizontal="center" vertical="center" wrapText="1"/>
    </xf>
    <xf numFmtId="0" fontId="8" fillId="13" borderId="50" applyAlignment="1" pivotButton="0" quotePrefix="0" xfId="0">
      <alignment vertical="center" wrapText="1"/>
    </xf>
    <xf numFmtId="0" fontId="8" fillId="13" borderId="0" applyAlignment="1" pivotButton="0" quotePrefix="0" xfId="0">
      <alignment vertical="center" wrapText="1"/>
    </xf>
    <xf numFmtId="0" fontId="8" fillId="13" borderId="51" applyAlignment="1" pivotButton="0" quotePrefix="0" xfId="0">
      <alignment vertical="center" wrapText="1"/>
    </xf>
    <xf numFmtId="0" fontId="8" fillId="13" borderId="52" applyAlignment="1" pivotButton="0" quotePrefix="0" xfId="0">
      <alignment vertical="center" wrapText="1"/>
    </xf>
    <xf numFmtId="0" fontId="8" fillId="13" borderId="53" applyAlignment="1" pivotButton="0" quotePrefix="0" xfId="0">
      <alignment vertical="center" wrapText="1"/>
    </xf>
    <xf numFmtId="0" fontId="8" fillId="13" borderId="54" applyAlignment="1" pivotButton="0" quotePrefix="0" xfId="0">
      <alignment vertical="center" wrapText="1"/>
    </xf>
    <xf numFmtId="1" fontId="8" fillId="13" borderId="51" applyAlignment="1" pivotButton="0" quotePrefix="0" xfId="0">
      <alignment vertical="center" wrapText="1"/>
    </xf>
    <xf numFmtId="1" fontId="8" fillId="13" borderId="54" applyAlignment="1" pivotButton="0" quotePrefix="0" xfId="0">
      <alignment vertical="center" wrapText="1"/>
    </xf>
    <xf numFmtId="1" fontId="8" fillId="13" borderId="0" applyAlignment="1" pivotButton="0" quotePrefix="0" xfId="0">
      <alignment vertical="center" wrapText="1"/>
    </xf>
    <xf numFmtId="1" fontId="8" fillId="13" borderId="53" applyAlignment="1" pivotButton="0" quotePrefix="0" xfId="0">
      <alignment vertical="center" wrapText="1"/>
    </xf>
    <xf numFmtId="0" fontId="8" fillId="12" borderId="33" applyAlignment="1" pivotButton="0" quotePrefix="0" xfId="0">
      <alignment vertical="center" wrapText="1"/>
    </xf>
    <xf numFmtId="0" fontId="9" fillId="12" borderId="33" applyAlignment="1" pivotButton="0" quotePrefix="0" xfId="0">
      <alignment vertical="center" wrapText="1"/>
    </xf>
    <xf numFmtId="0" fontId="9" fillId="12" borderId="33" applyAlignment="1" pivotButton="0" quotePrefix="0" xfId="0">
      <alignment horizontal="center" vertical="center" wrapText="1"/>
    </xf>
    <xf numFmtId="0" fontId="9" fillId="12" borderId="36" applyAlignment="1" pivotButton="0" quotePrefix="0" xfId="0">
      <alignment horizontal="center" vertical="center" wrapText="1"/>
    </xf>
    <xf numFmtId="0" fontId="8" fillId="13" borderId="38" applyAlignment="1" pivotButton="0" quotePrefix="0" xfId="0">
      <alignment vertical="center" wrapText="1"/>
    </xf>
    <xf numFmtId="0" fontId="8" fillId="13" borderId="39" applyAlignment="1" pivotButton="0" quotePrefix="0" xfId="0">
      <alignment vertical="center" wrapText="1"/>
    </xf>
    <xf numFmtId="9" fontId="8" fillId="13" borderId="0" applyAlignment="1" pivotButton="0" quotePrefix="0" xfId="0">
      <alignment vertical="center" wrapText="1"/>
    </xf>
    <xf numFmtId="164" fontId="8" fillId="13" borderId="0" applyAlignment="1" pivotButton="0" quotePrefix="0" xfId="0">
      <alignment vertical="center" wrapText="1"/>
    </xf>
    <xf numFmtId="3" fontId="8" fillId="13" borderId="0" applyAlignment="1" pivotButton="0" quotePrefix="0" xfId="0">
      <alignment vertical="center" wrapText="1"/>
    </xf>
    <xf numFmtId="3" fontId="8" fillId="13" borderId="53" applyAlignment="1" pivotButton="0" quotePrefix="0" xfId="0">
      <alignment vertical="center" wrapText="1"/>
    </xf>
    <xf numFmtId="164" fontId="8" fillId="13" borderId="53" applyAlignment="1" pivotButton="0" quotePrefix="0" xfId="0">
      <alignment vertical="center" wrapText="1"/>
    </xf>
    <xf numFmtId="164" fontId="8" fillId="13" borderId="51" applyAlignment="1" pivotButton="0" quotePrefix="0" xfId="0">
      <alignment vertical="center" wrapText="1"/>
    </xf>
    <xf numFmtId="164" fontId="8" fillId="13" borderId="54" applyAlignment="1" pivotButton="0" quotePrefix="0" xfId="0">
      <alignment vertical="center" wrapText="1"/>
    </xf>
    <xf numFmtId="0" fontId="8" fillId="14" borderId="40" applyAlignment="1" pivotButton="0" quotePrefix="0" xfId="0">
      <alignment vertical="center" wrapText="1"/>
    </xf>
    <xf numFmtId="0" fontId="8" fillId="14" borderId="41" applyAlignment="1" pivotButton="0" quotePrefix="0" xfId="0">
      <alignment vertical="center" wrapText="1"/>
    </xf>
    <xf numFmtId="0" fontId="8" fillId="14" borderId="42" applyAlignment="1" pivotButton="0" quotePrefix="0" xfId="0">
      <alignment vertical="center" wrapText="1"/>
    </xf>
    <xf numFmtId="0" fontId="9" fillId="14" borderId="40" applyAlignment="1" pivotButton="0" quotePrefix="0" xfId="0">
      <alignment vertical="center" wrapText="1"/>
    </xf>
    <xf numFmtId="0" fontId="9" fillId="14" borderId="41" applyAlignment="1" pivotButton="0" quotePrefix="0" xfId="0">
      <alignment vertical="center" wrapText="1"/>
    </xf>
    <xf numFmtId="0" fontId="9" fillId="14" borderId="42" applyAlignment="1" pivotButton="0" quotePrefix="0" xfId="0">
      <alignment vertical="center" wrapText="1"/>
    </xf>
    <xf numFmtId="0" fontId="9" fillId="14" borderId="40" applyAlignment="1" pivotButton="0" quotePrefix="0" xfId="0">
      <alignment horizontal="center" vertical="center" wrapText="1"/>
    </xf>
    <xf numFmtId="0" fontId="9" fillId="14" borderId="41" applyAlignment="1" pivotButton="0" quotePrefix="0" xfId="0">
      <alignment horizontal="center" vertical="center" wrapText="1"/>
    </xf>
    <xf numFmtId="0" fontId="9" fillId="14" borderId="42" applyAlignment="1" pivotButton="0" quotePrefix="0" xfId="0">
      <alignment horizontal="center" vertical="center" wrapText="1"/>
    </xf>
    <xf numFmtId="0" fontId="9" fillId="14" borderId="44" applyAlignment="1" pivotButton="0" quotePrefix="0" xfId="0">
      <alignment horizontal="center" vertical="center" wrapText="1"/>
    </xf>
    <xf numFmtId="0" fontId="9" fillId="14" borderId="45" applyAlignment="1" pivotButton="0" quotePrefix="0" xfId="0">
      <alignment horizontal="center" vertical="center" wrapText="1"/>
    </xf>
    <xf numFmtId="0" fontId="9" fillId="14" borderId="46" applyAlignment="1" pivotButton="0" quotePrefix="0" xfId="0">
      <alignment horizontal="center" vertical="center" wrapText="1"/>
    </xf>
    <xf numFmtId="0" fontId="8" fillId="15" borderId="50" applyAlignment="1" pivotButton="0" quotePrefix="0" xfId="0">
      <alignment vertical="center" wrapText="1"/>
    </xf>
    <xf numFmtId="0" fontId="8" fillId="15" borderId="0" applyAlignment="1" pivotButton="0" quotePrefix="0" xfId="0">
      <alignment vertical="center" wrapText="1"/>
    </xf>
    <xf numFmtId="0" fontId="8" fillId="15" borderId="51" applyAlignment="1" pivotButton="0" quotePrefix="0" xfId="0">
      <alignment vertical="center" wrapText="1"/>
    </xf>
    <xf numFmtId="0" fontId="8" fillId="15" borderId="52" applyAlignment="1" pivotButton="0" quotePrefix="0" xfId="0">
      <alignment vertical="center" wrapText="1"/>
    </xf>
    <xf numFmtId="0" fontId="8" fillId="15" borderId="53" applyAlignment="1" pivotButton="0" quotePrefix="0" xfId="0">
      <alignment vertical="center" wrapText="1"/>
    </xf>
    <xf numFmtId="0" fontId="8" fillId="15" borderId="54" applyAlignment="1" pivotButton="0" quotePrefix="0" xfId="0">
      <alignment vertical="center" wrapText="1"/>
    </xf>
    <xf numFmtId="1" fontId="8" fillId="15" borderId="51" applyAlignment="1" pivotButton="0" quotePrefix="0" xfId="0">
      <alignment vertical="center" wrapText="1"/>
    </xf>
    <xf numFmtId="1" fontId="8" fillId="15" borderId="54" applyAlignment="1" pivotButton="0" quotePrefix="0" xfId="0">
      <alignment vertical="center" wrapText="1"/>
    </xf>
    <xf numFmtId="1" fontId="8" fillId="15" borderId="0" applyAlignment="1" pivotButton="0" quotePrefix="0" xfId="0">
      <alignment vertical="center" wrapText="1"/>
    </xf>
    <xf numFmtId="1" fontId="8" fillId="15" borderId="53" applyAlignment="1" pivotButton="0" quotePrefix="0" xfId="0">
      <alignment vertical="center" wrapText="1"/>
    </xf>
    <xf numFmtId="0" fontId="8" fillId="14" borderId="33" applyAlignment="1" pivotButton="0" quotePrefix="0" xfId="0">
      <alignment vertical="center" wrapText="1"/>
    </xf>
    <xf numFmtId="0" fontId="9" fillId="14" borderId="33" applyAlignment="1" pivotButton="0" quotePrefix="0" xfId="0">
      <alignment vertical="center" wrapText="1"/>
    </xf>
    <xf numFmtId="0" fontId="9" fillId="14" borderId="33" applyAlignment="1" pivotButton="0" quotePrefix="0" xfId="0">
      <alignment horizontal="center" vertical="center" wrapText="1"/>
    </xf>
    <xf numFmtId="0" fontId="9" fillId="14" borderId="36" applyAlignment="1" pivotButton="0" quotePrefix="0" xfId="0">
      <alignment horizontal="center" vertical="center" wrapText="1"/>
    </xf>
    <xf numFmtId="0" fontId="8" fillId="15" borderId="38" applyAlignment="1" pivotButton="0" quotePrefix="0" xfId="0">
      <alignment vertical="center" wrapText="1"/>
    </xf>
    <xf numFmtId="0" fontId="8" fillId="15" borderId="39" applyAlignment="1" pivotButton="0" quotePrefix="0" xfId="0">
      <alignment vertical="center" wrapText="1"/>
    </xf>
    <xf numFmtId="9" fontId="8" fillId="15" borderId="0" applyAlignment="1" pivotButton="0" quotePrefix="0" xfId="0">
      <alignment vertical="center" wrapText="1"/>
    </xf>
    <xf numFmtId="164" fontId="8" fillId="15" borderId="0" applyAlignment="1" pivotButton="0" quotePrefix="0" xfId="0">
      <alignment vertical="center" wrapText="1"/>
    </xf>
    <xf numFmtId="3" fontId="8" fillId="15" borderId="0" applyAlignment="1" pivotButton="0" quotePrefix="0" xfId="0">
      <alignment vertical="center" wrapText="1"/>
    </xf>
    <xf numFmtId="3" fontId="8" fillId="15" borderId="53" applyAlignment="1" pivotButton="0" quotePrefix="0" xfId="0">
      <alignment vertical="center" wrapText="1"/>
    </xf>
    <xf numFmtId="164" fontId="8" fillId="15" borderId="53" applyAlignment="1" pivotButton="0" quotePrefix="0" xfId="0">
      <alignment vertical="center" wrapText="1"/>
    </xf>
    <xf numFmtId="164" fontId="8" fillId="15" borderId="51" applyAlignment="1" pivotButton="0" quotePrefix="0" xfId="0">
      <alignment vertical="center" wrapText="1"/>
    </xf>
    <xf numFmtId="164" fontId="8" fillId="15" borderId="54" applyAlignment="1" pivotButton="0" quotePrefix="0" xfId="0">
      <alignment vertical="center" wrapText="1"/>
    </xf>
    <xf numFmtId="0" fontId="0" fillId="16" borderId="0" pivotButton="0" quotePrefix="0" xfId="0"/>
    <xf numFmtId="0" fontId="9" fillId="16" borderId="0" pivotButton="0" quotePrefix="0" xfId="0"/>
    <xf numFmtId="0" fontId="9" fillId="16" borderId="0" applyAlignment="1" pivotButton="0" quotePrefix="0" xfId="0">
      <alignment horizontal="center"/>
    </xf>
    <xf numFmtId="0" fontId="9" fillId="16" borderId="0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center" vertical="center" wrapText="1"/>
    </xf>
    <xf numFmtId="0" fontId="8" fillId="0" borderId="43" applyAlignment="1" pivotButton="0" quotePrefix="0" xfId="0">
      <alignment horizontal="center" vertical="center" wrapText="1"/>
    </xf>
    <xf numFmtId="0" fontId="7" fillId="0" borderId="40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0" fontId="8" fillId="17" borderId="40" applyAlignment="1" pivotButton="0" quotePrefix="0" xfId="0">
      <alignment vertical="center" wrapText="1"/>
    </xf>
    <xf numFmtId="0" fontId="8" fillId="17" borderId="41" applyAlignment="1" pivotButton="0" quotePrefix="0" xfId="0">
      <alignment vertical="center" wrapText="1"/>
    </xf>
    <xf numFmtId="0" fontId="8" fillId="17" borderId="42" applyAlignment="1" pivotButton="0" quotePrefix="0" xfId="0">
      <alignment vertical="center" wrapText="1"/>
    </xf>
    <xf numFmtId="0" fontId="9" fillId="17" borderId="40" applyAlignment="1" pivotButton="0" quotePrefix="0" xfId="0">
      <alignment vertical="center" wrapText="1"/>
    </xf>
    <xf numFmtId="0" fontId="9" fillId="17" borderId="41" applyAlignment="1" pivotButton="0" quotePrefix="0" xfId="0">
      <alignment vertical="center" wrapText="1"/>
    </xf>
    <xf numFmtId="0" fontId="9" fillId="17" borderId="42" applyAlignment="1" pivotButton="0" quotePrefix="0" xfId="0">
      <alignment vertical="center" wrapText="1"/>
    </xf>
    <xf numFmtId="0" fontId="9" fillId="17" borderId="40" applyAlignment="1" pivotButton="0" quotePrefix="0" xfId="0">
      <alignment horizontal="center" vertical="center" wrapText="1"/>
    </xf>
    <xf numFmtId="0" fontId="9" fillId="17" borderId="41" applyAlignment="1" pivotButton="0" quotePrefix="0" xfId="0">
      <alignment horizontal="center" vertical="center" wrapText="1"/>
    </xf>
    <xf numFmtId="0" fontId="9" fillId="17" borderId="42" applyAlignment="1" pivotButton="0" quotePrefix="0" xfId="0">
      <alignment horizontal="center" vertical="center" wrapText="1"/>
    </xf>
    <xf numFmtId="0" fontId="9" fillId="17" borderId="44" applyAlignment="1" pivotButton="0" quotePrefix="0" xfId="0">
      <alignment horizontal="center" vertical="center" wrapText="1"/>
    </xf>
    <xf numFmtId="0" fontId="9" fillId="17" borderId="45" applyAlignment="1" pivotButton="0" quotePrefix="0" xfId="0">
      <alignment horizontal="center" vertical="center" wrapText="1"/>
    </xf>
    <xf numFmtId="0" fontId="9" fillId="17" borderId="46" applyAlignment="1" pivotButton="0" quotePrefix="0" xfId="0">
      <alignment horizontal="center" vertical="center" wrapText="1"/>
    </xf>
    <xf numFmtId="0" fontId="8" fillId="18" borderId="50" applyAlignment="1" pivotButton="0" quotePrefix="0" xfId="0">
      <alignment vertical="center" wrapText="1"/>
    </xf>
    <xf numFmtId="0" fontId="8" fillId="18" borderId="0" applyAlignment="1" pivotButton="0" quotePrefix="0" xfId="0">
      <alignment vertical="center" wrapText="1"/>
    </xf>
    <xf numFmtId="0" fontId="8" fillId="18" borderId="51" applyAlignment="1" pivotButton="0" quotePrefix="0" xfId="0">
      <alignment vertical="center" wrapText="1"/>
    </xf>
    <xf numFmtId="0" fontId="8" fillId="18" borderId="52" applyAlignment="1" pivotButton="0" quotePrefix="0" xfId="0">
      <alignment vertical="center" wrapText="1"/>
    </xf>
    <xf numFmtId="0" fontId="8" fillId="18" borderId="53" applyAlignment="1" pivotButton="0" quotePrefix="0" xfId="0">
      <alignment vertical="center" wrapText="1"/>
    </xf>
    <xf numFmtId="0" fontId="8" fillId="18" borderId="54" applyAlignment="1" pivotButton="0" quotePrefix="0" xfId="0">
      <alignment vertical="center" wrapText="1"/>
    </xf>
    <xf numFmtId="1" fontId="8" fillId="18" borderId="51" applyAlignment="1" pivotButton="0" quotePrefix="0" xfId="0">
      <alignment vertical="center" wrapText="1"/>
    </xf>
    <xf numFmtId="1" fontId="8" fillId="18" borderId="54" applyAlignment="1" pivotButton="0" quotePrefix="0" xfId="0">
      <alignment vertical="center" wrapText="1"/>
    </xf>
    <xf numFmtId="1" fontId="8" fillId="18" borderId="0" applyAlignment="1" pivotButton="0" quotePrefix="0" xfId="0">
      <alignment vertical="center" wrapText="1"/>
    </xf>
    <xf numFmtId="1" fontId="8" fillId="18" borderId="53" applyAlignment="1" pivotButton="0" quotePrefix="0" xfId="0">
      <alignment vertical="center" wrapText="1"/>
    </xf>
    <xf numFmtId="0" fontId="8" fillId="17" borderId="33" applyAlignment="1" pivotButton="0" quotePrefix="0" xfId="0">
      <alignment vertical="center" wrapText="1"/>
    </xf>
    <xf numFmtId="0" fontId="9" fillId="17" borderId="33" applyAlignment="1" pivotButton="0" quotePrefix="0" xfId="0">
      <alignment vertical="center" wrapText="1"/>
    </xf>
    <xf numFmtId="0" fontId="9" fillId="17" borderId="33" applyAlignment="1" pivotButton="0" quotePrefix="0" xfId="0">
      <alignment horizontal="center" vertical="center" wrapText="1"/>
    </xf>
    <xf numFmtId="0" fontId="9" fillId="17" borderId="36" applyAlignment="1" pivotButton="0" quotePrefix="0" xfId="0">
      <alignment horizontal="center" vertical="center" wrapText="1"/>
    </xf>
    <xf numFmtId="0" fontId="8" fillId="18" borderId="38" applyAlignment="1" pivotButton="0" quotePrefix="0" xfId="0">
      <alignment vertical="center" wrapText="1"/>
    </xf>
    <xf numFmtId="0" fontId="8" fillId="18" borderId="39" applyAlignment="1" pivotButton="0" quotePrefix="0" xfId="0">
      <alignment vertical="center" wrapText="1"/>
    </xf>
    <xf numFmtId="9" fontId="8" fillId="18" borderId="0" applyAlignment="1" pivotButton="0" quotePrefix="0" xfId="0">
      <alignment vertical="center" wrapText="1"/>
    </xf>
    <xf numFmtId="164" fontId="8" fillId="18" borderId="0" applyAlignment="1" pivotButton="0" quotePrefix="0" xfId="0">
      <alignment vertical="center" wrapText="1"/>
    </xf>
    <xf numFmtId="3" fontId="8" fillId="18" borderId="0" applyAlignment="1" pivotButton="0" quotePrefix="0" xfId="0">
      <alignment vertical="center" wrapText="1"/>
    </xf>
    <xf numFmtId="3" fontId="8" fillId="18" borderId="53" applyAlignment="1" pivotButton="0" quotePrefix="0" xfId="0">
      <alignment vertical="center" wrapText="1"/>
    </xf>
    <xf numFmtId="164" fontId="8" fillId="18" borderId="53" applyAlignment="1" pivotButton="0" quotePrefix="0" xfId="0">
      <alignment vertical="center" wrapText="1"/>
    </xf>
    <xf numFmtId="164" fontId="8" fillId="18" borderId="51" applyAlignment="1" pivotButton="0" quotePrefix="0" xfId="0">
      <alignment vertical="center" wrapText="1"/>
    </xf>
    <xf numFmtId="164" fontId="8" fillId="18" borderId="54" applyAlignment="1" pivotButton="0" quotePrefix="0" xfId="0">
      <alignment vertical="center" wrapText="1"/>
    </xf>
    <xf numFmtId="0" fontId="8" fillId="19" borderId="40" applyAlignment="1" pivotButton="0" quotePrefix="0" xfId="0">
      <alignment vertical="center" wrapText="1"/>
    </xf>
    <xf numFmtId="0" fontId="8" fillId="19" borderId="41" applyAlignment="1" pivotButton="0" quotePrefix="0" xfId="0">
      <alignment vertical="center" wrapText="1"/>
    </xf>
    <xf numFmtId="0" fontId="8" fillId="19" borderId="42" applyAlignment="1" pivotButton="0" quotePrefix="0" xfId="0">
      <alignment vertical="center" wrapText="1"/>
    </xf>
    <xf numFmtId="0" fontId="9" fillId="19" borderId="40" applyAlignment="1" pivotButton="0" quotePrefix="0" xfId="0">
      <alignment vertical="center" wrapText="1"/>
    </xf>
    <xf numFmtId="0" fontId="9" fillId="19" borderId="41" applyAlignment="1" pivotButton="0" quotePrefix="0" xfId="0">
      <alignment vertical="center" wrapText="1"/>
    </xf>
    <xf numFmtId="0" fontId="9" fillId="19" borderId="42" applyAlignment="1" pivotButton="0" quotePrefix="0" xfId="0">
      <alignment vertical="center" wrapText="1"/>
    </xf>
    <xf numFmtId="0" fontId="9" fillId="19" borderId="40" applyAlignment="1" pivotButton="0" quotePrefix="0" xfId="0">
      <alignment horizontal="center" vertical="center" wrapText="1"/>
    </xf>
    <xf numFmtId="0" fontId="9" fillId="19" borderId="41" applyAlignment="1" pivotButton="0" quotePrefix="0" xfId="0">
      <alignment horizontal="center" vertical="center" wrapText="1"/>
    </xf>
    <xf numFmtId="0" fontId="9" fillId="19" borderId="42" applyAlignment="1" pivotButton="0" quotePrefix="0" xfId="0">
      <alignment horizontal="center" vertical="center" wrapText="1"/>
    </xf>
    <xf numFmtId="0" fontId="9" fillId="19" borderId="44" applyAlignment="1" pivotButton="0" quotePrefix="0" xfId="0">
      <alignment horizontal="center" vertical="center" wrapText="1"/>
    </xf>
    <xf numFmtId="0" fontId="9" fillId="19" borderId="45" applyAlignment="1" pivotButton="0" quotePrefix="0" xfId="0">
      <alignment horizontal="center" vertical="center" wrapText="1"/>
    </xf>
    <xf numFmtId="0" fontId="9" fillId="19" borderId="46" applyAlignment="1" pivotButton="0" quotePrefix="0" xfId="0">
      <alignment horizontal="center" vertical="center" wrapText="1"/>
    </xf>
    <xf numFmtId="0" fontId="8" fillId="20" borderId="50" applyAlignment="1" pivotButton="0" quotePrefix="0" xfId="0">
      <alignment vertical="center" wrapText="1"/>
    </xf>
    <xf numFmtId="0" fontId="8" fillId="20" borderId="0" applyAlignment="1" pivotButton="0" quotePrefix="0" xfId="0">
      <alignment vertical="center" wrapText="1"/>
    </xf>
    <xf numFmtId="0" fontId="8" fillId="20" borderId="51" applyAlignment="1" pivotButton="0" quotePrefix="0" xfId="0">
      <alignment vertical="center" wrapText="1"/>
    </xf>
    <xf numFmtId="0" fontId="8" fillId="20" borderId="52" applyAlignment="1" pivotButton="0" quotePrefix="0" xfId="0">
      <alignment vertical="center" wrapText="1"/>
    </xf>
    <xf numFmtId="0" fontId="8" fillId="20" borderId="53" applyAlignment="1" pivotButton="0" quotePrefix="0" xfId="0">
      <alignment vertical="center" wrapText="1"/>
    </xf>
    <xf numFmtId="0" fontId="8" fillId="20" borderId="54" applyAlignment="1" pivotButton="0" quotePrefix="0" xfId="0">
      <alignment vertical="center" wrapText="1"/>
    </xf>
    <xf numFmtId="1" fontId="8" fillId="20" borderId="51" applyAlignment="1" pivotButton="0" quotePrefix="0" xfId="0">
      <alignment vertical="center" wrapText="1"/>
    </xf>
    <xf numFmtId="1" fontId="8" fillId="20" borderId="54" applyAlignment="1" pivotButton="0" quotePrefix="0" xfId="0">
      <alignment vertical="center" wrapText="1"/>
    </xf>
    <xf numFmtId="1" fontId="8" fillId="20" borderId="0" applyAlignment="1" pivotButton="0" quotePrefix="0" xfId="0">
      <alignment vertical="center" wrapText="1"/>
    </xf>
    <xf numFmtId="1" fontId="8" fillId="20" borderId="53" applyAlignment="1" pivotButton="0" quotePrefix="0" xfId="0">
      <alignment vertical="center" wrapText="1"/>
    </xf>
    <xf numFmtId="0" fontId="8" fillId="19" borderId="33" applyAlignment="1" pivotButton="0" quotePrefix="0" xfId="0">
      <alignment vertical="center" wrapText="1"/>
    </xf>
    <xf numFmtId="0" fontId="9" fillId="19" borderId="33" applyAlignment="1" pivotButton="0" quotePrefix="0" xfId="0">
      <alignment vertical="center" wrapText="1"/>
    </xf>
    <xf numFmtId="0" fontId="9" fillId="19" borderId="33" applyAlignment="1" pivotButton="0" quotePrefix="0" xfId="0">
      <alignment horizontal="center" vertical="center" wrapText="1"/>
    </xf>
    <xf numFmtId="0" fontId="9" fillId="19" borderId="36" applyAlignment="1" pivotButton="0" quotePrefix="0" xfId="0">
      <alignment horizontal="center" vertical="center" wrapText="1"/>
    </xf>
    <xf numFmtId="0" fontId="8" fillId="20" borderId="38" applyAlignment="1" pivotButton="0" quotePrefix="0" xfId="0">
      <alignment vertical="center" wrapText="1"/>
    </xf>
    <xf numFmtId="0" fontId="8" fillId="20" borderId="39" applyAlignment="1" pivotButton="0" quotePrefix="0" xfId="0">
      <alignment vertical="center" wrapText="1"/>
    </xf>
    <xf numFmtId="9" fontId="8" fillId="20" borderId="0" applyAlignment="1" pivotButton="0" quotePrefix="0" xfId="0">
      <alignment vertical="center" wrapText="1"/>
    </xf>
    <xf numFmtId="164" fontId="8" fillId="20" borderId="0" applyAlignment="1" pivotButton="0" quotePrefix="0" xfId="0">
      <alignment vertical="center" wrapText="1"/>
    </xf>
    <xf numFmtId="0" fontId="8" fillId="19" borderId="50" applyAlignment="1" pivotButton="0" quotePrefix="0" xfId="0">
      <alignment vertical="center" wrapText="1"/>
    </xf>
    <xf numFmtId="0" fontId="8" fillId="19" borderId="0" applyAlignment="1" pivotButton="0" quotePrefix="0" xfId="0">
      <alignment vertical="center" wrapText="1"/>
    </xf>
    <xf numFmtId="0" fontId="9" fillId="19" borderId="50" applyAlignment="1" pivotButton="0" quotePrefix="0" xfId="0">
      <alignment vertical="center" wrapText="1"/>
    </xf>
    <xf numFmtId="0" fontId="9" fillId="19" borderId="0" applyAlignment="1" pivotButton="0" quotePrefix="0" xfId="0">
      <alignment vertical="center" wrapText="1"/>
    </xf>
    <xf numFmtId="0" fontId="9" fillId="19" borderId="50" applyAlignment="1" pivotButton="0" quotePrefix="0" xfId="0">
      <alignment horizontal="center" vertical="center" wrapText="1"/>
    </xf>
    <xf numFmtId="0" fontId="9" fillId="19" borderId="0" applyAlignment="1" pivotButton="0" quotePrefix="0" xfId="0">
      <alignment horizontal="center" vertical="center" wrapText="1"/>
    </xf>
    <xf numFmtId="0" fontId="7" fillId="20" borderId="50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7" fillId="0" borderId="52" applyAlignment="1" pivotButton="0" quotePrefix="0" xfId="0">
      <alignment vertical="center" wrapText="1"/>
    </xf>
    <xf numFmtId="0" fontId="7" fillId="20" borderId="50" applyAlignment="1" pivotButton="0" quotePrefix="0" xfId="0">
      <alignment horizontal="center" vertical="center" wrapText="1"/>
    </xf>
    <xf numFmtId="0" fontId="7" fillId="0" borderId="50" applyAlignment="1" pivotButton="0" quotePrefix="0" xfId="0">
      <alignment horizontal="center" vertical="center" wrapText="1"/>
    </xf>
    <xf numFmtId="0" fontId="7" fillId="0" borderId="52" applyAlignment="1" pivotButton="0" quotePrefix="0" xfId="0">
      <alignment horizontal="center" vertical="center" wrapText="1"/>
    </xf>
    <xf numFmtId="3" fontId="8" fillId="20" borderId="0" applyAlignment="1" pivotButton="0" quotePrefix="0" xfId="0">
      <alignment vertical="center" wrapText="1"/>
    </xf>
    <xf numFmtId="3" fontId="8" fillId="20" borderId="53" applyAlignment="1" pivotButton="0" quotePrefix="0" xfId="0">
      <alignment vertical="center" wrapText="1"/>
    </xf>
    <xf numFmtId="164" fontId="8" fillId="20" borderId="53" applyAlignment="1" pivotButton="0" quotePrefix="0" xfId="0">
      <alignment vertical="center" wrapText="1"/>
    </xf>
    <xf numFmtId="164" fontId="8" fillId="20" borderId="51" applyAlignment="1" pivotButton="0" quotePrefix="0" xfId="0">
      <alignment vertical="center" wrapText="1"/>
    </xf>
    <xf numFmtId="164" fontId="8" fillId="20" borderId="54" applyAlignment="1" pivotButton="0" quotePrefix="0" xfId="0">
      <alignment vertical="center" wrapText="1"/>
    </xf>
    <xf numFmtId="0" fontId="11" fillId="22" borderId="48" applyAlignment="1" pivotButton="0" quotePrefix="0" xfId="0">
      <alignment vertical="center" wrapText="1"/>
    </xf>
    <xf numFmtId="0" fontId="13" fillId="25" borderId="48" applyAlignment="1" pivotButton="0" quotePrefix="0" xfId="0">
      <alignment vertical="center" wrapText="1"/>
    </xf>
    <xf numFmtId="1" fontId="8" fillId="0" borderId="49" applyAlignment="1" pivotButton="0" quotePrefix="0" xfId="0">
      <alignment vertical="center" wrapText="1"/>
    </xf>
    <xf numFmtId="0" fontId="13" fillId="25" borderId="0" applyAlignment="1" pivotButton="0" quotePrefix="0" xfId="0">
      <alignment vertical="center" wrapText="1"/>
    </xf>
    <xf numFmtId="0" fontId="11" fillId="22" borderId="0" applyAlignment="1" pivotButton="0" quotePrefix="0" xfId="0">
      <alignment vertical="center" wrapText="1"/>
    </xf>
    <xf numFmtId="1" fontId="8" fillId="20" borderId="51" applyAlignment="1" pivotButton="0" quotePrefix="0" xfId="0">
      <alignment vertical="center" wrapText="1"/>
    </xf>
    <xf numFmtId="1" fontId="8" fillId="0" borderId="51" applyAlignment="1" pivotButton="0" quotePrefix="0" xfId="0">
      <alignment vertical="center" wrapText="1"/>
    </xf>
    <xf numFmtId="0" fontId="11" fillId="22" borderId="53" applyAlignment="1" pivotButton="0" quotePrefix="0" xfId="0">
      <alignment vertical="center" wrapText="1"/>
    </xf>
    <xf numFmtId="1" fontId="8" fillId="20" borderId="54" applyAlignment="1" pivotButton="0" quotePrefix="0" xfId="0">
      <alignment vertical="center" wrapText="1"/>
    </xf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11" fillId="22" borderId="49" applyAlignment="1" pivotButton="0" quotePrefix="0" xfId="0">
      <alignment vertical="center" wrapText="1"/>
    </xf>
    <xf numFmtId="0" fontId="11" fillId="22" borderId="51" applyAlignment="1" pivotButton="0" quotePrefix="0" xfId="0">
      <alignment vertical="center" wrapText="1"/>
    </xf>
    <xf numFmtId="0" fontId="11" fillId="22" borderId="54" applyAlignment="1" pivotButton="0" quotePrefix="0" xfId="0">
      <alignment vertical="center" wrapText="1"/>
    </xf>
    <xf numFmtId="0" fontId="13" fillId="25" borderId="53" applyAlignment="1" pivotButton="0" quotePrefix="0" xfId="0">
      <alignment vertical="center" wrapText="1"/>
    </xf>
    <xf numFmtId="1" fontId="8" fillId="0" borderId="48" applyAlignment="1" pivotButton="0" quotePrefix="0" xfId="0">
      <alignment vertical="center" wrapText="1"/>
    </xf>
    <xf numFmtId="1" fontId="8" fillId="20" borderId="0" applyAlignment="1" pivotButton="0" quotePrefix="0" xfId="0">
      <alignment vertical="center" wrapText="1"/>
    </xf>
    <xf numFmtId="1" fontId="8" fillId="0" borderId="0" applyAlignment="1" pivotButton="0" quotePrefix="0" xfId="0">
      <alignment vertical="center" wrapText="1"/>
    </xf>
    <xf numFmtId="1" fontId="8" fillId="20" borderId="53" applyAlignment="1" pivotButton="0" quotePrefix="0" xfId="0">
      <alignment vertical="center" wrapText="1"/>
    </xf>
    <xf numFmtId="9" fontId="8" fillId="0" borderId="48" applyAlignment="1" pivotButton="0" quotePrefix="0" xfId="0">
      <alignment vertical="center" wrapText="1"/>
    </xf>
    <xf numFmtId="164" fontId="8" fillId="0" borderId="48" applyAlignment="1" pivotButton="0" quotePrefix="0" xfId="0">
      <alignment vertical="center" wrapText="1"/>
    </xf>
    <xf numFmtId="9" fontId="8" fillId="20" borderId="0" applyAlignment="1" pivotButton="0" quotePrefix="0" xfId="0">
      <alignment vertical="center" wrapText="1"/>
    </xf>
    <xf numFmtId="164" fontId="8" fillId="20" borderId="0" applyAlignment="1" pivotButton="0" quotePrefix="0" xfId="0">
      <alignment vertical="center" wrapText="1"/>
    </xf>
    <xf numFmtId="9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0" fontId="10" fillId="19" borderId="55" applyAlignment="1" pivotButton="0" quotePrefix="0" xfId="0">
      <alignment horizontal="center" vertical="center" wrapText="1"/>
    </xf>
    <xf numFmtId="0" fontId="0" fillId="21" borderId="55" applyAlignment="1" pivotButton="0" quotePrefix="0" xfId="0">
      <alignment vertical="top" wrapText="1"/>
    </xf>
    <xf numFmtId="0" fontId="0" fillId="24" borderId="55" applyAlignment="1" pivotButton="0" quotePrefix="0" xfId="0">
      <alignment horizontal="center" vertical="center"/>
    </xf>
    <xf numFmtId="0" fontId="11" fillId="22" borderId="55" applyAlignment="1" pivotButton="0" quotePrefix="0" xfId="0">
      <alignment vertical="top" wrapText="1"/>
    </xf>
    <xf numFmtId="0" fontId="12" fillId="23" borderId="55" applyAlignment="1" pivotButton="0" quotePrefix="0" xfId="0">
      <alignment vertical="top" wrapText="1"/>
    </xf>
    <xf numFmtId="0" fontId="0" fillId="0" borderId="55" applyAlignment="1" pivotButton="0" quotePrefix="0" xfId="0">
      <alignment vertical="top" wrapText="1"/>
    </xf>
    <xf numFmtId="0" fontId="8" fillId="0" borderId="55" applyAlignment="1" pivotButton="0" quotePrefix="0" xfId="0">
      <alignment vertical="top" wrapText="1"/>
    </xf>
    <xf numFmtId="3" fontId="8" fillId="0" borderId="55" applyAlignment="1" pivotButton="0" quotePrefix="0" xfId="0">
      <alignment vertical="top" wrapText="1"/>
    </xf>
    <xf numFmtId="164" fontId="8" fillId="0" borderId="55" applyAlignment="1" pivotButton="0" quotePrefix="0" xfId="0">
      <alignment vertical="top" wrapText="1"/>
    </xf>
    <xf numFmtId="0" fontId="8" fillId="20" borderId="55" applyAlignment="1" pivotButton="0" quotePrefix="0" xfId="0">
      <alignment vertical="top" wrapText="1"/>
    </xf>
    <xf numFmtId="3" fontId="8" fillId="20" borderId="55" applyAlignment="1" pivotButton="0" quotePrefix="0" xfId="0">
      <alignment vertical="top" wrapText="1"/>
    </xf>
    <xf numFmtId="164" fontId="8" fillId="20" borderId="55" applyAlignment="1" pivotButton="0" quotePrefix="0" xfId="0">
      <alignment vertical="top" wrapText="1"/>
    </xf>
    <xf numFmtId="0" fontId="0" fillId="24" borderId="55" applyAlignment="1" pivotButton="0" quotePrefix="0" xfId="0">
      <alignment vertical="top" wrapText="1"/>
    </xf>
    <xf numFmtId="0" fontId="10" fillId="26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4" fillId="0" borderId="0" pivotButton="0" quotePrefix="0" xfId="0"/>
    <xf numFmtId="0" fontId="10" fillId="26" borderId="0" applyAlignment="1" pivotButton="0" quotePrefix="0" xfId="0">
      <alignment horizontal="center" wrapText="1"/>
    </xf>
  </cellXfs>
  <cellStyles count="1">
    <cellStyle name="Normal" xfId="0"/>
  </cellStyles>
  <dxfs count="978">
    <dxf>
      <fill>
        <patternFill>
          <bgColor rgb="00C6EFCE"/>
        </patternFill>
      </fill>
    </dxf>
    <dxf>
      <fill>
        <patternFill>
          <bgColor rgb="00FFC7CE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374151"/>
      </font>
      <fill>
        <patternFill>
          <bgColor rgb="00E5E7EB"/>
        </patternFill>
      </fill>
    </dxf>
    <dxf>
      <font>
        <b val="1"/>
        <color rgb="001D4ED8"/>
      </font>
      <fill>
        <patternFill>
          <bgColor rgb="00DBEAFE"/>
        </patternFill>
      </fill>
    </dxf>
    <dxf>
      <font>
        <b val="1"/>
        <color rgb="00075985"/>
      </font>
      <fill>
        <patternFill>
          <bgColor rgb="00E0F2FE"/>
        </patternFill>
      </fill>
    </dxf>
    <dxf>
      <font>
        <b val="1"/>
        <color rgb="0092400E"/>
      </font>
      <fill>
        <patternFill>
          <bgColor rgb="00FEF3C7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991B1B"/>
      </font>
      <fill>
        <patternFill>
          <bgColor rgb="00FEE2E2"/>
        </patternFill>
      </fill>
    </dxf>
    <dxf>
      <font>
        <b val="1"/>
        <color rgb="00166534"/>
      </font>
      <fill>
        <patternFill>
          <bgColor rgb="00DCFCE7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666666"/>
      </font>
      <fill>
        <patternFill>
          <bgColor rgb="00E7E6E6"/>
        </patternFill>
      </fill>
    </dxf>
    <dxf>
      <font>
        <b val="1"/>
        <color rgb="001F4E78"/>
      </font>
      <fill>
        <patternFill>
          <bgColor rgb="00D9EAF7"/>
        </patternFill>
      </fill>
    </dxf>
    <dxf>
      <font>
        <b val="1"/>
        <color rgb="00375623"/>
      </font>
      <fill>
        <patternFill>
          <bgColor rgb="00E2F0D9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6500"/>
      </font>
      <fill>
        <patternFill patternType="solid">
          <bgColor rgb="00FFEB9C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666666"/>
      </font>
      <fill>
        <patternFill patternType="solid">
          <bgColor rgb="00E7E6E6"/>
        </patternFill>
      </fill>
    </dxf>
    <dxf>
      <font>
        <b val="1"/>
        <color rgb="001F4E78"/>
      </font>
      <fill>
        <patternFill patternType="solid">
          <bgColor rgb="00D9EAF7"/>
        </patternFill>
      </fill>
    </dxf>
    <dxf>
      <font>
        <b val="1"/>
        <color rgb="00375623"/>
      </font>
      <fill>
        <patternFill patternType="solid">
          <bgColor rgb="00E2F0D9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GitHub Stars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'Repository Metrics'!$B$1</f>
              <strCache>
                <ptCount val="1"/>
                <pt idx="0">
                  <v>Stars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'Repository Metrics'!$A$2:$A$11</f>
              <strCache>
                <ptCount val="10"/>
                <pt idx="0">
                  <v>Rob2011/ESP32.Modbus-TCP-gateway</v>
                </pt>
                <pt idx="1">
                  <v>vwetter/esp32-modbus-gateway</v>
                </pt>
                <pt idx="2">
                  <v>zivillian/esp32-modbus-gateway</v>
                </pt>
                <pt idx="3">
                  <v>harihanv/esp32-modbus-gateway</v>
                </pt>
                <pt idx="4">
                  <v>tobiasfaust/SolaxModbusGateway</v>
                </pt>
                <pt idx="5">
                  <v>rosenrot00/esphome_modbus_bridge</v>
                </pt>
                <pt idx="6">
                  <v>eModbus/eModbus</v>
                </pt>
                <pt idx="7">
                  <v>NamNamIoT/ESP32</v>
                </pt>
                <pt idx="8">
                  <v>maxx-ukoo/esp32-modbus-tcp2rtu</v>
                </pt>
                <pt idx="9">
                  <v>espressif/esp-modbus</v>
                </pt>
              </strCache>
            </strRef>
          </cat>
          <val>
            <numRef>
              <f>'Repository Metrics'!$B$2:$B$11</f>
              <numCache>
                <formatCode>General</formatCode>
                <ptCount val="10"/>
                <pt idx="0">
                  <v>2</v>
                </pt>
                <pt idx="1">
                  <v>4</v>
                </pt>
                <pt idx="2">
                  <v>232</v>
                </pt>
                <pt idx="3">
                  <v>74</v>
                </pt>
                <pt idx="4">
                  <v>100</v>
                </pt>
                <pt idx="5">
                  <v>39</v>
                </pt>
                <pt idx="6">
                  <v>494</v>
                </pt>
                <pt idx="7">
                  <v>19</v>
                </pt>
                <pt idx="8">
                  <v>6</v>
                </pt>
                <pt idx="9">
                  <v>185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Project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Stars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Total Commits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'Repository Metrics'!$E$1</f>
              <strCache>
                <ptCount val="1"/>
                <pt idx="0">
                  <v>Commits Count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'Repository Metrics'!$A$2:$A$11</f>
              <strCache>
                <ptCount val="10"/>
                <pt idx="0">
                  <v>Rob2011/ESP32.Modbus-TCP-gateway</v>
                </pt>
                <pt idx="1">
                  <v>vwetter/esp32-modbus-gateway</v>
                </pt>
                <pt idx="2">
                  <v>zivillian/esp32-modbus-gateway</v>
                </pt>
                <pt idx="3">
                  <v>harihanv/esp32-modbus-gateway</v>
                </pt>
                <pt idx="4">
                  <v>tobiasfaust/SolaxModbusGateway</v>
                </pt>
                <pt idx="5">
                  <v>rosenrot00/esphome_modbus_bridge</v>
                </pt>
                <pt idx="6">
                  <v>eModbus/eModbus</v>
                </pt>
                <pt idx="7">
                  <v>NamNamIoT/ESP32</v>
                </pt>
                <pt idx="8">
                  <v>maxx-ukoo/esp32-modbus-tcp2rtu</v>
                </pt>
                <pt idx="9">
                  <v>espressif/esp-modbus</v>
                </pt>
              </strCache>
            </strRef>
          </cat>
          <val>
            <numRef>
              <f>'Repository Metrics'!$E$2:$E$11</f>
              <numCache>
                <formatCode>General</formatCode>
                <ptCount val="10"/>
                <pt idx="0">
                  <v>17</v>
                </pt>
                <pt idx="1">
                  <v>48</v>
                </pt>
                <pt idx="2">
                  <v>62</v>
                </pt>
                <pt idx="3">
                  <v>1</v>
                </pt>
                <pt idx="4">
                  <v>408</v>
                </pt>
                <pt idx="5">
                  <v>263</v>
                </pt>
                <pt idx="6">
                  <v>457</v>
                </pt>
                <pt idx="7">
                  <v>90</v>
                </pt>
                <pt idx="8">
                  <v>29</v>
                </pt>
                <pt idx="9">
                  <v>163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Project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Commits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Active Contributors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'Repository Metrics'!$F$1</f>
              <strCache>
                <ptCount val="1"/>
                <pt idx="0">
                  <v>Active Contributors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'Repository Metrics'!$A$2:$A$11</f>
              <strCache>
                <ptCount val="10"/>
                <pt idx="0">
                  <v>Rob2011/ESP32.Modbus-TCP-gateway</v>
                </pt>
                <pt idx="1">
                  <v>vwetter/esp32-modbus-gateway</v>
                </pt>
                <pt idx="2">
                  <v>zivillian/esp32-modbus-gateway</v>
                </pt>
                <pt idx="3">
                  <v>harihanv/esp32-modbus-gateway</v>
                </pt>
                <pt idx="4">
                  <v>tobiasfaust/SolaxModbusGateway</v>
                </pt>
                <pt idx="5">
                  <v>rosenrot00/esphome_modbus_bridge</v>
                </pt>
                <pt idx="6">
                  <v>eModbus/eModbus</v>
                </pt>
                <pt idx="7">
                  <v>NamNamIoT/ESP32</v>
                </pt>
                <pt idx="8">
                  <v>maxx-ukoo/esp32-modbus-tcp2rtu</v>
                </pt>
                <pt idx="9">
                  <v>espressif/esp-modbus</v>
                </pt>
              </strCache>
            </strRef>
          </cat>
          <val>
            <numRef>
              <f>'Repository Metrics'!$F$2:$F$11</f>
              <numCache>
                <formatCode>General</formatCode>
                <ptCount val="10"/>
                <pt idx="0">
                  <v>2</v>
                </pt>
                <pt idx="1">
                  <v>2</v>
                </pt>
                <pt idx="2">
                  <v>3</v>
                </pt>
                <pt idx="3">
                  <v>1</v>
                </pt>
                <pt idx="4">
                  <v>8</v>
                </pt>
                <pt idx="5">
                  <v>4</v>
                </pt>
                <pt idx="6">
                  <v>19</v>
                </pt>
                <pt idx="7">
                  <v>2</v>
                </pt>
                <pt idx="8">
                  <v>2</v>
                </pt>
                <pt idx="9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Project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Contributors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Stars vs Forks</a:t>
            </a:r>
          </a:p>
        </rich>
      </tx>
      <overlay val="0"/>
    </title>
    <plotArea>
      <layout/>
      <scatterChart>
        <scatterStyle val="lineMarker"/>
        <varyColors val="1"/>
        <ser>
          <idx val="0"/>
          <order val="0"/>
          <tx>
            <strRef>
              <f>'Repository Metrics'!$B$1</f>
              <strCache>
                <ptCount val="1"/>
                <pt idx="0">
                  <v>Stars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0"/>
            </numLit>
          </xVal>
          <yVal>
            <numLit>
              <ptCount val="0"/>
            </numLit>
          </y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scatterChart>
      <valAx>
        <axId val="48650112"/>
        <scaling>
          <orientation val="minMax"/>
        </scaling>
        <delete val="1"/>
        <axPos val="b"/>
        <numFmt formatCode="" sourceLinked="0"/>
        <majorTickMark val="none"/>
        <minorTickMark val="none"/>
        <tickLblPos val="nextTo"/>
        <crossAx val="48672768"/>
        <crosses val="autoZero"/>
        <crossBetween val="midCat"/>
      </valAx>
      <valAx>
        <axId val="48672768"/>
        <scaling>
          <orientation val="minMax"/>
        </scaling>
        <delete val="1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midCat"/>
      </valAx>
    </plotArea>
    <legend>
      <legendPos val="r"/>
      <overlay val="1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Dependency Complexity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Dependencies!$I$1</f>
              <strCache>
                <ptCount val="1"/>
                <pt idx="0">
                  <v>Dependency Complexity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Dependencies!$A$2:$A$11</f>
              <strCache>
                <ptCount val="10"/>
                <pt idx="0">
                  <v>Rob2011/ESP32.Modbus-TCP-gateway</v>
                </pt>
                <pt idx="1">
                  <v>vwetter/esp32-modbus-gateway</v>
                </pt>
                <pt idx="2">
                  <v>zivillian/esp32-modbus-gateway</v>
                </pt>
                <pt idx="3">
                  <v>harihanv/esp32-modbus-gateway</v>
                </pt>
                <pt idx="4">
                  <v>tobiasfaust/SolaxModbusGateway</v>
                </pt>
                <pt idx="5">
                  <v>rosenrot00/esphome_modbus_bridge</v>
                </pt>
                <pt idx="6">
                  <v>eModbus/eModbus</v>
                </pt>
                <pt idx="7">
                  <v>NamNamIoT/ESP32</v>
                </pt>
                <pt idx="8">
                  <v>maxx-ukoo/esp32-modbus-tcp2rtu</v>
                </pt>
                <pt idx="9">
                  <v>espressif/esp-modbus</v>
                </pt>
              </strCache>
            </strRef>
          </cat>
          <val>
            <numRef>
              <f>Dependencies!$I$2:$I$11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Complexity Level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Number of Projects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Feature Support by Project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Dependencies!$E$1</f>
              <strCache>
                <ptCount val="1"/>
                <pt idx="0">
                  <v>AsyncTCP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Dependencies!$A$2:$A$11</f>
              <strCache>
                <ptCount val="10"/>
                <pt idx="0">
                  <v>Rob2011/ESP32.Modbus-TCP-gateway</v>
                </pt>
                <pt idx="1">
                  <v>vwetter/esp32-modbus-gateway</v>
                </pt>
                <pt idx="2">
                  <v>zivillian/esp32-modbus-gateway</v>
                </pt>
                <pt idx="3">
                  <v>harihanv/esp32-modbus-gateway</v>
                </pt>
                <pt idx="4">
                  <v>tobiasfaust/SolaxModbusGateway</v>
                </pt>
                <pt idx="5">
                  <v>rosenrot00/esphome_modbus_bridge</v>
                </pt>
                <pt idx="6">
                  <v>eModbus/eModbus</v>
                </pt>
                <pt idx="7">
                  <v>NamNamIoT/ESP32</v>
                </pt>
                <pt idx="8">
                  <v>maxx-ukoo/esp32-modbus-tcp2rtu</v>
                </pt>
                <pt idx="9">
                  <v>espressif/esp-modbus</v>
                </pt>
              </strCache>
            </strRef>
          </cat>
          <val>
            <numRef>
              <f>Dependencies!$E$2:$E$11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Dependencies!$F$1</f>
              <strCache>
                <ptCount val="1"/>
                <pt idx="0">
                  <v>WiFi Library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Dependencies!$A$2:$A$11</f>
              <strCache>
                <ptCount val="10"/>
                <pt idx="0">
                  <v>Rob2011/ESP32.Modbus-TCP-gateway</v>
                </pt>
                <pt idx="1">
                  <v>vwetter/esp32-modbus-gateway</v>
                </pt>
                <pt idx="2">
                  <v>zivillian/esp32-modbus-gateway</v>
                </pt>
                <pt idx="3">
                  <v>harihanv/esp32-modbus-gateway</v>
                </pt>
                <pt idx="4">
                  <v>tobiasfaust/SolaxModbusGateway</v>
                </pt>
                <pt idx="5">
                  <v>rosenrot00/esphome_modbus_bridge</v>
                </pt>
                <pt idx="6">
                  <v>eModbus/eModbus</v>
                </pt>
                <pt idx="7">
                  <v>NamNamIoT/ESP32</v>
                </pt>
                <pt idx="8">
                  <v>maxx-ukoo/esp32-modbus-tcp2rtu</v>
                </pt>
                <pt idx="9">
                  <v>espressif/esp-modbus</v>
                </pt>
              </strCache>
            </strRef>
          </cat>
          <val>
            <numRef>
              <f>Dependencies!$F$2:$F$11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2"/>
          <order val="2"/>
          <tx>
            <strRef>
              <f>Dependencies!$G$1</f>
              <strCache>
                <ptCount val="1"/>
                <pt idx="0">
                  <v>Ethernet Library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Dependencies!$A$2:$A$11</f>
              <strCache>
                <ptCount val="10"/>
                <pt idx="0">
                  <v>Rob2011/ESP32.Modbus-TCP-gateway</v>
                </pt>
                <pt idx="1">
                  <v>vwetter/esp32-modbus-gateway</v>
                </pt>
                <pt idx="2">
                  <v>zivillian/esp32-modbus-gateway</v>
                </pt>
                <pt idx="3">
                  <v>harihanv/esp32-modbus-gateway</v>
                </pt>
                <pt idx="4">
                  <v>tobiasfaust/SolaxModbusGateway</v>
                </pt>
                <pt idx="5">
                  <v>rosenrot00/esphome_modbus_bridge</v>
                </pt>
                <pt idx="6">
                  <v>eModbus/eModbus</v>
                </pt>
                <pt idx="7">
                  <v>NamNamIoT/ESP32</v>
                </pt>
                <pt idx="8">
                  <v>maxx-ukoo/esp32-modbus-tcp2rtu</v>
                </pt>
                <pt idx="9">
                  <v>espressif/esp-modbus</v>
                </pt>
              </strCache>
            </strRef>
          </cat>
          <val>
            <numRef>
              <f>Dependencies!$G$2:$G$11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3"/>
          <order val="3"/>
          <tx>
            <strRef>
              <f>Dependencies!$H$1</f>
              <strCache>
                <ptCount val="1"/>
                <pt idx="0">
                  <v>RS485 Library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Dependencies!$A$2:$A$11</f>
              <strCache>
                <ptCount val="10"/>
                <pt idx="0">
                  <v>Rob2011/ESP32.Modbus-TCP-gateway</v>
                </pt>
                <pt idx="1">
                  <v>vwetter/esp32-modbus-gateway</v>
                </pt>
                <pt idx="2">
                  <v>zivillian/esp32-modbus-gateway</v>
                </pt>
                <pt idx="3">
                  <v>harihanv/esp32-modbus-gateway</v>
                </pt>
                <pt idx="4">
                  <v>tobiasfaust/SolaxModbusGateway</v>
                </pt>
                <pt idx="5">
                  <v>rosenrot00/esphome_modbus_bridge</v>
                </pt>
                <pt idx="6">
                  <v>eModbus/eModbus</v>
                </pt>
                <pt idx="7">
                  <v>NamNamIoT/ESP32</v>
                </pt>
                <pt idx="8">
                  <v>maxx-ukoo/esp32-modbus-tcp2rtu</v>
                </pt>
                <pt idx="9">
                  <v>espressif/esp-modbus</v>
                </pt>
              </strCache>
            </strRef>
          </cat>
          <val>
            <numRef>
              <f>Dependencies!$H$2:$H$11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Project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Has Support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21</col>
      <colOff>0</colOff>
      <row>1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21</col>
      <colOff>0</colOff>
      <row>17</row>
      <rowOff>0</rowOff>
    </from>
    <ext cx="7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17</row>
      <rowOff>0</rowOff>
    </from>
    <ext cx="90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10" defaultColWidth="8.83203125" defaultRowHeight="15"/>
  <cols>
    <col width="32.52000045776367" customWidth="1" min="1" max="1"/>
    <col width="18.39999961853027" customWidth="1" min="2" max="2"/>
    <col width="12.27000045776367" customWidth="1" min="3" max="3"/>
    <col width="15.94999980926514" customWidth="1" min="10" max="10"/>
    <col width="17.18000030517578" customWidth="1" min="13" max="13"/>
    <col width="14.10999965667725" customWidth="1" min="14" max="14"/>
    <col width="11.03999996185303" customWidth="1" min="15" max="15"/>
  </cols>
  <sheetData>
    <row r="1" ht="25.5" customHeight="1">
      <c r="A1" s="352" t="inlineStr">
        <is>
          <t>Project</t>
        </is>
      </c>
      <c r="B1" s="353" t="inlineStr">
        <is>
          <t>Framework</t>
        </is>
      </c>
      <c r="C1" s="353" t="inlineStr">
        <is>
          <t>Last Update</t>
        </is>
      </c>
      <c r="D1" s="353" t="inlineStr">
        <is>
          <t>Stars</t>
        </is>
      </c>
      <c r="E1" s="353" t="inlineStr">
        <is>
          <t>Forks</t>
        </is>
      </c>
      <c r="F1" s="353" t="inlineStr">
        <is>
          <t>TCP Master</t>
        </is>
      </c>
      <c r="G1" s="353" t="inlineStr">
        <is>
          <t>TCP Slave</t>
        </is>
      </c>
      <c r="H1" s="353" t="inlineStr">
        <is>
          <t>RTU Master</t>
        </is>
      </c>
      <c r="I1" s="353" t="inlineStr">
        <is>
          <t>RTU Slave</t>
        </is>
      </c>
      <c r="J1" s="353" t="inlineStr">
        <is>
          <t>Gateway</t>
        </is>
      </c>
      <c r="K1" s="353" t="inlineStr">
        <is>
          <t>Async Support</t>
        </is>
      </c>
      <c r="L1" s="353" t="inlineStr">
        <is>
          <t>WiFi</t>
        </is>
      </c>
      <c r="M1" s="353" t="inlineStr">
        <is>
          <t>Ethernet</t>
        </is>
      </c>
      <c r="N1" s="353" t="inlineStr">
        <is>
          <t>Doc Quality</t>
        </is>
      </c>
      <c r="O1" s="354" t="inlineStr">
        <is>
          <t>Overall Score</t>
        </is>
      </c>
    </row>
    <row r="2">
      <c r="A2" s="119" t="inlineStr">
        <is>
          <t>Rob2011/ESP32.Modbus-TCP-gateway</t>
        </is>
      </c>
      <c r="B2" s="120" t="inlineStr">
        <is>
          <t>Arduino</t>
        </is>
      </c>
      <c r="C2" s="120" t="inlineStr">
        <is>
          <t>2026-01-01</t>
        </is>
      </c>
      <c r="D2" s="120" t="n">
        <v>2</v>
      </c>
      <c r="E2" s="120" t="n">
        <v>1</v>
      </c>
      <c r="F2" s="390" t="inlineStr">
        <is>
          <t>Yes</t>
        </is>
      </c>
      <c r="G2" s="120" t="inlineStr">
        <is>
          <t>Partial</t>
        </is>
      </c>
      <c r="H2" s="390" t="inlineStr">
        <is>
          <t>Yes</t>
        </is>
      </c>
      <c r="I2" s="390" t="inlineStr">
        <is>
          <t>Yes</t>
        </is>
      </c>
      <c r="J2" s="390" t="inlineStr">
        <is>
          <t>Yes</t>
        </is>
      </c>
      <c r="K2" s="391" t="inlineStr">
        <is>
          <t>No</t>
        </is>
      </c>
      <c r="L2" s="390" t="inlineStr">
        <is>
          <t>Yes</t>
        </is>
      </c>
      <c r="M2" s="120" t="inlineStr">
        <is>
          <t>Partial</t>
        </is>
      </c>
      <c r="N2" s="120" t="inlineStr">
        <is>
          <t>Good</t>
        </is>
      </c>
      <c r="O2" s="392" t="n">
        <v>70</v>
      </c>
    </row>
    <row r="3">
      <c r="A3" s="355" t="inlineStr">
        <is>
          <t>vwetter/esp32-modbus-gateway</t>
        </is>
      </c>
      <c r="B3" s="356" t="inlineStr">
        <is>
          <t>Arduino</t>
        </is>
      </c>
      <c r="C3" s="356" t="inlineStr">
        <is>
          <t>2026-03-10</t>
        </is>
      </c>
      <c r="D3" s="356" t="n">
        <v>4</v>
      </c>
      <c r="E3" s="356" t="n">
        <v>1</v>
      </c>
      <c r="F3" s="393" t="inlineStr">
        <is>
          <t>No</t>
        </is>
      </c>
      <c r="G3" s="356" t="inlineStr">
        <is>
          <t>REST/API only</t>
        </is>
      </c>
      <c r="H3" s="394" t="inlineStr">
        <is>
          <t>Yes</t>
        </is>
      </c>
      <c r="I3" s="394" t="inlineStr">
        <is>
          <t>Yes</t>
        </is>
      </c>
      <c r="J3" s="394" t="inlineStr">
        <is>
          <t>Yes</t>
        </is>
      </c>
      <c r="K3" s="394" t="inlineStr">
        <is>
          <t>Yes</t>
        </is>
      </c>
      <c r="L3" s="394" t="inlineStr">
        <is>
          <t>Yes</t>
        </is>
      </c>
      <c r="M3" s="393" t="inlineStr">
        <is>
          <t>No</t>
        </is>
      </c>
      <c r="N3" s="356" t="inlineStr">
        <is>
          <t>Excellent</t>
        </is>
      </c>
      <c r="O3" s="395" t="n">
        <v>76</v>
      </c>
    </row>
    <row r="4">
      <c r="A4" s="122" t="inlineStr">
        <is>
          <t>zivillian/esp32-modbus-gateway</t>
        </is>
      </c>
      <c r="B4" s="65" t="inlineStr">
        <is>
          <t>Arduino + PlatformIO</t>
        </is>
      </c>
      <c r="C4" s="65" t="inlineStr">
        <is>
          <t>2025-01-07</t>
        </is>
      </c>
      <c r="D4" s="65" t="n">
        <v>232</v>
      </c>
      <c r="E4" s="65" t="n">
        <v>91</v>
      </c>
      <c r="F4" s="394" t="inlineStr">
        <is>
          <t>Yes</t>
        </is>
      </c>
      <c r="G4" s="394" t="inlineStr">
        <is>
          <t>Yes</t>
        </is>
      </c>
      <c r="H4" s="394" t="inlineStr">
        <is>
          <t>Yes</t>
        </is>
      </c>
      <c r="I4" s="394" t="inlineStr">
        <is>
          <t>Yes</t>
        </is>
      </c>
      <c r="J4" s="394" t="inlineStr">
        <is>
          <t>Yes</t>
        </is>
      </c>
      <c r="K4" s="394" t="inlineStr">
        <is>
          <t>Yes</t>
        </is>
      </c>
      <c r="L4" s="394" t="inlineStr">
        <is>
          <t>Yes</t>
        </is>
      </c>
      <c r="M4" s="65" t="inlineStr">
        <is>
          <t>Partial</t>
        </is>
      </c>
      <c r="N4" s="65" t="inlineStr">
        <is>
          <t>Good</t>
        </is>
      </c>
      <c r="O4" s="396" t="n">
        <v>74</v>
      </c>
    </row>
    <row r="5">
      <c r="A5" s="355" t="inlineStr">
        <is>
          <t>harihanv/esp32-modbus-gateway</t>
        </is>
      </c>
      <c r="B5" s="356" t="inlineStr">
        <is>
          <t>Arduino</t>
        </is>
      </c>
      <c r="C5" s="356" t="inlineStr">
        <is>
          <t>2021-07-14</t>
        </is>
      </c>
      <c r="D5" s="356" t="n">
        <v>74</v>
      </c>
      <c r="E5" s="356" t="n">
        <v>34</v>
      </c>
      <c r="F5" s="394" t="inlineStr">
        <is>
          <t>Yes</t>
        </is>
      </c>
      <c r="G5" s="394" t="inlineStr">
        <is>
          <t>Yes</t>
        </is>
      </c>
      <c r="H5" s="394" t="inlineStr">
        <is>
          <t>Yes</t>
        </is>
      </c>
      <c r="I5" s="394" t="inlineStr">
        <is>
          <t>Yes</t>
        </is>
      </c>
      <c r="J5" s="394" t="inlineStr">
        <is>
          <t>Yes</t>
        </is>
      </c>
      <c r="K5" s="393" t="inlineStr">
        <is>
          <t>No</t>
        </is>
      </c>
      <c r="L5" s="394" t="inlineStr">
        <is>
          <t>Yes</t>
        </is>
      </c>
      <c r="M5" s="394" t="inlineStr">
        <is>
          <t>Yes</t>
        </is>
      </c>
      <c r="N5" s="356" t="inlineStr">
        <is>
          <t>Fair</t>
        </is>
      </c>
      <c r="O5" s="395" t="n">
        <v>58</v>
      </c>
    </row>
    <row r="6">
      <c r="A6" s="122" t="inlineStr">
        <is>
          <t>tobiasfaust/SolaxModbusGateway</t>
        </is>
      </c>
      <c r="B6" s="65" t="inlineStr">
        <is>
          <t>Arduino + PlatformIO</t>
        </is>
      </c>
      <c r="C6" s="65" t="inlineStr">
        <is>
          <t>2026-03-16</t>
        </is>
      </c>
      <c r="D6" s="65" t="n">
        <v>100</v>
      </c>
      <c r="E6" s="65" t="n">
        <v>28</v>
      </c>
      <c r="F6" s="65" t="inlineStr">
        <is>
          <t>Partial</t>
        </is>
      </c>
      <c r="G6" s="65" t="inlineStr">
        <is>
          <t>Partial</t>
        </is>
      </c>
      <c r="H6" s="394" t="inlineStr">
        <is>
          <t>Yes</t>
        </is>
      </c>
      <c r="I6" s="394" t="inlineStr">
        <is>
          <t>Yes</t>
        </is>
      </c>
      <c r="J6" s="65" t="inlineStr">
        <is>
          <t>App-specific</t>
        </is>
      </c>
      <c r="K6" s="394" t="inlineStr">
        <is>
          <t>Yes</t>
        </is>
      </c>
      <c r="L6" s="394" t="inlineStr">
        <is>
          <t>Yes</t>
        </is>
      </c>
      <c r="M6" s="65" t="inlineStr">
        <is>
          <t>No evidence</t>
        </is>
      </c>
      <c r="N6" s="65" t="inlineStr">
        <is>
          <t>Good</t>
        </is>
      </c>
      <c r="O6" s="396" t="n">
        <v>78</v>
      </c>
    </row>
    <row r="7">
      <c r="A7" s="355" t="inlineStr">
        <is>
          <t>rosenrot00/esphome_modbus_bridge</t>
        </is>
      </c>
      <c r="B7" s="356" t="inlineStr">
        <is>
          <t>ESPHome</t>
        </is>
      </c>
      <c r="C7" s="356" t="inlineStr">
        <is>
          <t>2026-04-25</t>
        </is>
      </c>
      <c r="D7" s="356" t="n">
        <v>39</v>
      </c>
      <c r="E7" s="356" t="n">
        <v>16</v>
      </c>
      <c r="F7" s="393" t="inlineStr">
        <is>
          <t>No</t>
        </is>
      </c>
      <c r="G7" s="356" t="inlineStr">
        <is>
          <t>TCP server bridge</t>
        </is>
      </c>
      <c r="H7" s="356" t="inlineStr">
        <is>
          <t>RTU bridge master</t>
        </is>
      </c>
      <c r="I7" s="393" t="inlineStr">
        <is>
          <t>No</t>
        </is>
      </c>
      <c r="J7" s="394" t="inlineStr">
        <is>
          <t>Yes</t>
        </is>
      </c>
      <c r="K7" s="394" t="inlineStr">
        <is>
          <t>Yes</t>
        </is>
      </c>
      <c r="L7" s="394" t="inlineStr">
        <is>
          <t>Yes</t>
        </is>
      </c>
      <c r="M7" s="356" t="inlineStr">
        <is>
          <t>ESPHome-dependent</t>
        </is>
      </c>
      <c r="N7" s="356" t="inlineStr">
        <is>
          <t>Excellent</t>
        </is>
      </c>
      <c r="O7" s="395" t="n">
        <v>82</v>
      </c>
    </row>
    <row r="8">
      <c r="A8" s="122" t="inlineStr">
        <is>
          <t>eModbus/eModbus</t>
        </is>
      </c>
      <c r="B8" s="65" t="inlineStr">
        <is>
          <t>Arduino library</t>
        </is>
      </c>
      <c r="C8" s="65" t="inlineStr">
        <is>
          <t>2026-04-26</t>
        </is>
      </c>
      <c r="D8" s="65" t="n">
        <v>494</v>
      </c>
      <c r="E8" s="65" t="n">
        <v>163</v>
      </c>
      <c r="F8" s="394" t="inlineStr">
        <is>
          <t>Yes</t>
        </is>
      </c>
      <c r="G8" s="394" t="inlineStr">
        <is>
          <t>Yes</t>
        </is>
      </c>
      <c r="H8" s="394" t="inlineStr">
        <is>
          <t>Yes</t>
        </is>
      </c>
      <c r="I8" s="394" t="inlineStr">
        <is>
          <t>Yes</t>
        </is>
      </c>
      <c r="J8" s="394" t="inlineStr">
        <is>
          <t>Yes</t>
        </is>
      </c>
      <c r="K8" s="394" t="inlineStr">
        <is>
          <t>Yes</t>
        </is>
      </c>
      <c r="L8" s="394" t="inlineStr">
        <is>
          <t>Yes</t>
        </is>
      </c>
      <c r="M8" s="394" t="inlineStr">
        <is>
          <t>Yes</t>
        </is>
      </c>
      <c r="N8" s="65" t="inlineStr">
        <is>
          <t>Excellent</t>
        </is>
      </c>
      <c r="O8" s="396" t="n">
        <v>90</v>
      </c>
    </row>
    <row r="9">
      <c r="A9" s="355" t="inlineStr">
        <is>
          <t>NamNamIoT/ESP32</t>
        </is>
      </c>
      <c r="B9" s="356" t="inlineStr">
        <is>
          <t>Arduino examples</t>
        </is>
      </c>
      <c r="C9" s="356" t="inlineStr">
        <is>
          <t>2025-09-04</t>
        </is>
      </c>
      <c r="D9" s="356" t="n">
        <v>19</v>
      </c>
      <c r="E9" s="356" t="n">
        <v>9</v>
      </c>
      <c r="F9" s="394" t="inlineStr">
        <is>
          <t>Yes</t>
        </is>
      </c>
      <c r="G9" s="394" t="inlineStr">
        <is>
          <t>Yes</t>
        </is>
      </c>
      <c r="H9" s="394" t="inlineStr">
        <is>
          <t>Yes</t>
        </is>
      </c>
      <c r="I9" s="394" t="inlineStr">
        <is>
          <t>Yes</t>
        </is>
      </c>
      <c r="J9" s="356" t="inlineStr">
        <is>
          <t>Example bridge</t>
        </is>
      </c>
      <c r="K9" s="356" t="inlineStr">
        <is>
          <t>Partial</t>
        </is>
      </c>
      <c r="L9" s="394" t="inlineStr">
        <is>
          <t>Yes</t>
        </is>
      </c>
      <c r="M9" s="394" t="inlineStr">
        <is>
          <t>Yes</t>
        </is>
      </c>
      <c r="N9" s="356" t="inlineStr">
        <is>
          <t>Fair</t>
        </is>
      </c>
      <c r="O9" s="395" t="n">
        <v>66</v>
      </c>
    </row>
    <row r="10">
      <c r="A10" s="122" t="inlineStr">
        <is>
          <t>maxx-ukoo/esp32-modbus-tcp2rtu</t>
        </is>
      </c>
      <c r="B10" s="65" t="inlineStr">
        <is>
          <t>ESP-IDF</t>
        </is>
      </c>
      <c r="C10" s="65" t="inlineStr">
        <is>
          <t>2020-12-17</t>
        </is>
      </c>
      <c r="D10" s="65" t="n">
        <v>6</v>
      </c>
      <c r="E10" s="65" t="n">
        <v>2</v>
      </c>
      <c r="F10" s="394" t="inlineStr">
        <is>
          <t>Yes</t>
        </is>
      </c>
      <c r="G10" s="394" t="inlineStr">
        <is>
          <t>Yes</t>
        </is>
      </c>
      <c r="H10" s="394" t="inlineStr">
        <is>
          <t>Yes</t>
        </is>
      </c>
      <c r="I10" s="394" t="inlineStr">
        <is>
          <t>Yes</t>
        </is>
      </c>
      <c r="J10" s="394" t="inlineStr">
        <is>
          <t>Yes</t>
        </is>
      </c>
      <c r="K10" s="393" t="inlineStr">
        <is>
          <t>No</t>
        </is>
      </c>
      <c r="L10" s="393" t="inlineStr">
        <is>
          <t>No</t>
        </is>
      </c>
      <c r="M10" s="394" t="inlineStr">
        <is>
          <t>Yes</t>
        </is>
      </c>
      <c r="N10" s="65" t="inlineStr">
        <is>
          <t>Fair</t>
        </is>
      </c>
      <c r="O10" s="396" t="n">
        <v>50</v>
      </c>
    </row>
    <row r="11">
      <c r="A11" s="358" t="inlineStr">
        <is>
          <t>espressif/esp-modbus</t>
        </is>
      </c>
      <c r="B11" s="359" t="inlineStr">
        <is>
          <t>ESP-IDF component</t>
        </is>
      </c>
      <c r="C11" s="359" t="inlineStr">
        <is>
          <t>2026-05-07</t>
        </is>
      </c>
      <c r="D11" s="359" t="n">
        <v>185</v>
      </c>
      <c r="E11" s="359" t="n">
        <v>82</v>
      </c>
      <c r="F11" s="397" t="inlineStr">
        <is>
          <t>Yes</t>
        </is>
      </c>
      <c r="G11" s="397" t="inlineStr">
        <is>
          <t>Yes</t>
        </is>
      </c>
      <c r="H11" s="397" t="inlineStr">
        <is>
          <t>Yes</t>
        </is>
      </c>
      <c r="I11" s="397" t="inlineStr">
        <is>
          <t>Yes</t>
        </is>
      </c>
      <c r="J11" s="359" t="inlineStr">
        <is>
          <t>Gateway-capable</t>
        </is>
      </c>
      <c r="K11" s="397" t="inlineStr">
        <is>
          <t>Yes</t>
        </is>
      </c>
      <c r="L11" s="397" t="inlineStr">
        <is>
          <t>Yes</t>
        </is>
      </c>
      <c r="M11" s="397" t="inlineStr">
        <is>
          <t>Yes</t>
        </is>
      </c>
      <c r="N11" s="359" t="inlineStr">
        <is>
          <t>Excellent</t>
        </is>
      </c>
      <c r="O11" s="398" t="n">
        <v>92</v>
      </c>
    </row>
  </sheetData>
  <conditionalFormatting sqref="F2:N11">
    <cfRule type="expression" priority="1" dxfId="824">
      <formula>F2="Yes"</formula>
    </cfRule>
    <cfRule type="expression" priority="2" dxfId="824">
      <formula>F2="Y"</formula>
    </cfRule>
    <cfRule type="expression" priority="3" dxfId="824">
      <formula>F2="PASS"</formula>
    </cfRule>
    <cfRule type="expression" priority="4" dxfId="827">
      <formula>F2="No"</formula>
    </cfRule>
    <cfRule type="expression" priority="5" dxfId="828">
      <formula>F2="Partial"</formula>
    </cfRule>
    <cfRule type="expression" priority="6" dxfId="829">
      <formula>F2="No evidence"</formula>
    </cfRule>
    <cfRule type="expression" priority="7" dxfId="829">
      <formula>F2="Not run"</formula>
    </cfRule>
    <cfRule type="expression" priority="8" dxfId="829">
      <formula>F2="N/A"</formula>
    </cfRule>
    <cfRule type="expression" priority="9" dxfId="832">
      <formula>F2="Excellent"</formula>
    </cfRule>
    <cfRule type="expression" priority="10" dxfId="833">
      <formula>F2="Good"</formula>
    </cfRule>
    <cfRule type="expression" priority="11" dxfId="834">
      <formula>F2="Fair"</formula>
    </cfRule>
    <cfRule type="expression" priority="12" dxfId="827">
      <formula>F2="Low"</formula>
    </cfRule>
    <cfRule type="expression" priority="13" dxfId="827">
      <formula>F2="Hard"</formula>
    </cfRule>
    <cfRule type="expression" priority="14" dxfId="824">
      <formula>F2="Easy"</formula>
    </cfRule>
  </conditionalFormatting>
  <conditionalFormatting sqref="O2:O11">
    <cfRule type="colorScale" priority="15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3203125" defaultRowHeight="15"/>
  <cols>
    <col width="32.52000045776367" customWidth="1" min="1" max="1"/>
    <col width="15" customWidth="1" min="2" max="6"/>
    <col width="14.10999965667725" customWidth="1" min="4" max="4"/>
    <col width="12.88000011444092" customWidth="1" min="5" max="5"/>
    <col width="15.34000015258789" customWidth="1" min="6" max="6"/>
  </cols>
  <sheetData>
    <row r="1" ht="25.5" customHeight="1">
      <c r="A1" s="352" t="inlineStr">
        <is>
          <t>Project</t>
        </is>
      </c>
      <c r="B1" s="353" t="inlineStr">
        <is>
          <t>Stars</t>
        </is>
      </c>
      <c r="C1" s="353" t="inlineStr">
        <is>
          <t>Forks</t>
        </is>
      </c>
      <c r="D1" s="353" t="inlineStr">
        <is>
          <t>Last Commit Date</t>
        </is>
      </c>
      <c r="E1" s="353" t="inlineStr">
        <is>
          <t>Commits Count</t>
        </is>
      </c>
      <c r="F1" s="354" t="inlineStr">
        <is>
          <t>Active Contributors</t>
        </is>
      </c>
    </row>
    <row r="2" ht="16" customHeight="1">
      <c r="A2" s="119" t="inlineStr">
        <is>
          <t>Rob2011/ESP32.Modbus-TCP-gateway</t>
        </is>
      </c>
      <c r="B2" s="120" t="n">
        <v>2</v>
      </c>
      <c r="C2" s="120" t="n">
        <v>1</v>
      </c>
      <c r="D2" s="120" t="inlineStr">
        <is>
          <t>2026-01-01</t>
        </is>
      </c>
      <c r="E2" s="120" t="n">
        <v>17</v>
      </c>
      <c r="F2" s="121" t="n">
        <v>2</v>
      </c>
    </row>
    <row r="3" ht="16" customHeight="1">
      <c r="A3" s="355" t="inlineStr">
        <is>
          <t>vwetter/esp32-modbus-gateway</t>
        </is>
      </c>
      <c r="B3" s="356" t="n">
        <v>4</v>
      </c>
      <c r="C3" s="356" t="n">
        <v>1</v>
      </c>
      <c r="D3" s="356" t="inlineStr">
        <is>
          <t>2026-03-10</t>
        </is>
      </c>
      <c r="E3" s="356" t="n">
        <v>48</v>
      </c>
      <c r="F3" s="357" t="n">
        <v>2</v>
      </c>
    </row>
    <row r="4" ht="16" customHeight="1">
      <c r="A4" s="122" t="inlineStr">
        <is>
          <t>zivillian/esp32-modbus-gateway</t>
        </is>
      </c>
      <c r="B4" s="65" t="n">
        <v>232</v>
      </c>
      <c r="C4" s="65" t="n">
        <v>91</v>
      </c>
      <c r="D4" s="65" t="inlineStr">
        <is>
          <t>2025-01-07</t>
        </is>
      </c>
      <c r="E4" s="65" t="n">
        <v>62</v>
      </c>
      <c r="F4" s="123" t="n">
        <v>3</v>
      </c>
    </row>
    <row r="5" ht="16" customHeight="1">
      <c r="A5" s="355" t="inlineStr">
        <is>
          <t>harihanv/esp32-modbus-gateway</t>
        </is>
      </c>
      <c r="B5" s="356" t="n">
        <v>74</v>
      </c>
      <c r="C5" s="356" t="n">
        <v>34</v>
      </c>
      <c r="D5" s="356" t="inlineStr">
        <is>
          <t>2021-07-14</t>
        </is>
      </c>
      <c r="E5" s="356" t="n">
        <v>1</v>
      </c>
      <c r="F5" s="357" t="n">
        <v>1</v>
      </c>
    </row>
    <row r="6" ht="16" customHeight="1">
      <c r="A6" s="122" t="inlineStr">
        <is>
          <t>tobiasfaust/SolaxModbusGateway</t>
        </is>
      </c>
      <c r="B6" s="65" t="n">
        <v>100</v>
      </c>
      <c r="C6" s="65" t="n">
        <v>28</v>
      </c>
      <c r="D6" s="65" t="inlineStr">
        <is>
          <t>2026-03-16</t>
        </is>
      </c>
      <c r="E6" s="65" t="n">
        <v>408</v>
      </c>
      <c r="F6" s="123" t="n">
        <v>8</v>
      </c>
    </row>
    <row r="7" ht="16" customHeight="1">
      <c r="A7" s="355" t="inlineStr">
        <is>
          <t>rosenrot00/esphome_modbus_bridge</t>
        </is>
      </c>
      <c r="B7" s="356" t="n">
        <v>39</v>
      </c>
      <c r="C7" s="356" t="n">
        <v>16</v>
      </c>
      <c r="D7" s="356" t="inlineStr">
        <is>
          <t>2026-04-25</t>
        </is>
      </c>
      <c r="E7" s="356" t="n">
        <v>263</v>
      </c>
      <c r="F7" s="357" t="n">
        <v>4</v>
      </c>
    </row>
    <row r="8" ht="16" customHeight="1">
      <c r="A8" s="122" t="inlineStr">
        <is>
          <t>eModbus/eModbus</t>
        </is>
      </c>
      <c r="B8" s="65" t="n">
        <v>494</v>
      </c>
      <c r="C8" s="65" t="n">
        <v>163</v>
      </c>
      <c r="D8" s="65" t="inlineStr">
        <is>
          <t>2026-04-26</t>
        </is>
      </c>
      <c r="E8" s="65" t="n">
        <v>457</v>
      </c>
      <c r="F8" s="123" t="n">
        <v>19</v>
      </c>
    </row>
    <row r="9" ht="16" customHeight="1">
      <c r="A9" s="355" t="inlineStr">
        <is>
          <t>NamNamIoT/ESP32</t>
        </is>
      </c>
      <c r="B9" s="356" t="n">
        <v>19</v>
      </c>
      <c r="C9" s="356" t="n">
        <v>9</v>
      </c>
      <c r="D9" s="356" t="inlineStr">
        <is>
          <t>2025-09-04</t>
        </is>
      </c>
      <c r="E9" s="356" t="n">
        <v>90</v>
      </c>
      <c r="F9" s="357" t="n">
        <v>2</v>
      </c>
    </row>
    <row r="10" ht="16" customHeight="1">
      <c r="A10" s="122" t="inlineStr">
        <is>
          <t>maxx-ukoo/esp32-modbus-tcp2rtu</t>
        </is>
      </c>
      <c r="B10" s="65" t="n">
        <v>6</v>
      </c>
      <c r="C10" s="65" t="n">
        <v>2</v>
      </c>
      <c r="D10" s="65" t="inlineStr">
        <is>
          <t>2020-12-17</t>
        </is>
      </c>
      <c r="E10" s="65" t="n">
        <v>29</v>
      </c>
      <c r="F10" s="123" t="n">
        <v>2</v>
      </c>
    </row>
    <row r="11" ht="16" customHeight="1">
      <c r="A11" s="358" t="inlineStr">
        <is>
          <t>espressif/esp-modbus</t>
        </is>
      </c>
      <c r="B11" s="359" t="n">
        <v>185</v>
      </c>
      <c r="C11" s="359" t="n">
        <v>82</v>
      </c>
      <c r="D11" s="359" t="inlineStr">
        <is>
          <t>2026-05-07</t>
        </is>
      </c>
      <c r="E11" s="359" t="n">
        <v>163</v>
      </c>
      <c r="F11" s="360" t="n">
        <v>8</v>
      </c>
    </row>
    <row r="12">
      <c r="A12" s="64" t="n"/>
      <c r="B12" s="65" t="n"/>
      <c r="C12" s="65" t="n"/>
      <c r="D12" s="65" t="n"/>
      <c r="E12" s="65" t="n"/>
      <c r="F12" s="66" t="n"/>
    </row>
    <row r="13">
      <c r="A13" s="64" t="n"/>
      <c r="B13" s="65" t="n"/>
      <c r="C13" s="65" t="n"/>
      <c r="D13" s="65" t="n"/>
      <c r="E13" s="65" t="n"/>
      <c r="F13" s="66" t="n"/>
    </row>
    <row r="14" ht="20" customHeight="1">
      <c r="A14" s="175" t="inlineStr">
        <is>
          <t>KEY FINDINGS &amp; INSIGHTS</t>
        </is>
      </c>
      <c r="F14" s="399" t="n"/>
    </row>
    <row r="15">
      <c r="A15" s="175" t="inlineStr">
        <is>
          <t>• eModbus dominates with 494 stars and 457 commits—most mature and actively maintained project</t>
        </is>
      </c>
      <c r="F15" s="399" t="n"/>
    </row>
    <row r="16">
      <c r="A16" s="175" t="inlineStr">
        <is>
          <t>• espressif/esp-modbus (185 stars) is official Espressif library with strong institutional backing</t>
        </is>
      </c>
      <c r="F16" s="399" t="n"/>
    </row>
    <row r="17">
      <c r="A17" s="175" t="inlineStr">
        <is>
          <t>• zivillian/esp32-modbus-gateway (232 stars) shows high popularity-to-development ratio (62 commits)</t>
        </is>
      </c>
      <c r="F17" s="399" t="n"/>
    </row>
    <row r="18">
      <c r="A18" s="175" t="inlineStr">
        <is>
          <t>• maxx-ukoo/esp32-modbus-tcp2rtu is stale (last commit Dec 2020)—not recommended for new projects</t>
        </is>
      </c>
      <c r="F18" s="399" t="n"/>
    </row>
    <row r="19">
      <c r="A19" s="176" t="inlineStr">
        <is>
          <t>• harihanv/esp32-modbus-gateway is minimal proof-of-concept (1 commit)—unsuitable for production</t>
        </is>
      </c>
      <c r="B19" s="400" t="n"/>
      <c r="C19" s="400" t="n"/>
      <c r="D19" s="400" t="n"/>
      <c r="E19" s="400" t="n"/>
      <c r="F19" s="401" t="n"/>
    </row>
  </sheetData>
  <mergeCells count="6">
    <mergeCell ref="A16:F16"/>
    <mergeCell ref="A19:F19"/>
    <mergeCell ref="A14:F14"/>
    <mergeCell ref="A17:F17"/>
    <mergeCell ref="A18:F18"/>
    <mergeCell ref="A15:F15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10" defaultColWidth="8.83203125" defaultRowHeight="15"/>
  <cols>
    <col width="32.52000045776367" customWidth="1" min="1" max="1"/>
    <col width="20.25" customWidth="1" min="12" max="12"/>
  </cols>
  <sheetData>
    <row r="1" ht="25.5" customHeight="1">
      <c r="A1" s="352" t="inlineStr">
        <is>
          <t>Project</t>
        </is>
      </c>
      <c r="B1" s="353" t="inlineStr">
        <is>
          <t>TCP Master</t>
        </is>
      </c>
      <c r="C1" s="353" t="inlineStr">
        <is>
          <t>TCP Slave</t>
        </is>
      </c>
      <c r="D1" s="353" t="inlineStr">
        <is>
          <t>RTU Master</t>
        </is>
      </c>
      <c r="E1" s="353" t="inlineStr">
        <is>
          <t>RTU Slave</t>
        </is>
      </c>
      <c r="F1" s="353" t="inlineStr">
        <is>
          <t>ASCII Support</t>
        </is>
      </c>
      <c r="G1" s="353" t="inlineStr">
        <is>
          <t>Gateway</t>
        </is>
      </c>
      <c r="H1" s="353" t="inlineStr">
        <is>
          <t>Async</t>
        </is>
      </c>
      <c r="I1" s="353" t="inlineStr">
        <is>
          <t>Non-Blocking</t>
        </is>
      </c>
      <c r="J1" s="353" t="inlineStr">
        <is>
          <t>Multi-Client</t>
        </is>
      </c>
      <c r="K1" s="353" t="inlineStr">
        <is>
          <t>FreeRTOS Tasks</t>
        </is>
      </c>
      <c r="L1" s="354" t="inlineStr">
        <is>
          <t>Function Codes Supported</t>
        </is>
      </c>
    </row>
    <row r="2" ht="16" customHeight="1">
      <c r="A2" s="119" t="inlineStr">
        <is>
          <t>Rob2011/ESP32.Modbus-TCP-gateway</t>
        </is>
      </c>
      <c r="B2" s="390" t="inlineStr">
        <is>
          <t>Yes</t>
        </is>
      </c>
      <c r="C2" s="391" t="inlineStr">
        <is>
          <t>No</t>
        </is>
      </c>
      <c r="D2" s="390" t="inlineStr">
        <is>
          <t>Yes</t>
        </is>
      </c>
      <c r="E2" s="390" t="inlineStr">
        <is>
          <t>Yes</t>
        </is>
      </c>
      <c r="F2" s="391" t="inlineStr">
        <is>
          <t>No</t>
        </is>
      </c>
      <c r="G2" s="390" t="inlineStr">
        <is>
          <t>Yes</t>
        </is>
      </c>
      <c r="H2" s="391" t="inlineStr">
        <is>
          <t>No</t>
        </is>
      </c>
      <c r="I2" s="390" t="inlineStr">
        <is>
          <t>Yes</t>
        </is>
      </c>
      <c r="J2" s="390" t="inlineStr">
        <is>
          <t>Yes</t>
        </is>
      </c>
      <c r="K2" s="390" t="inlineStr">
        <is>
          <t>Yes</t>
        </is>
      </c>
      <c r="L2" s="121" t="inlineStr">
        <is>
          <t>Standard</t>
        </is>
      </c>
    </row>
    <row r="3" ht="16" customHeight="1">
      <c r="A3" s="355" t="inlineStr">
        <is>
          <t>vwetter/esp32-modbus-gateway</t>
        </is>
      </c>
      <c r="B3" s="393" t="inlineStr">
        <is>
          <t>No</t>
        </is>
      </c>
      <c r="C3" s="394" t="inlineStr">
        <is>
          <t>Yes</t>
        </is>
      </c>
      <c r="D3" s="394" t="inlineStr">
        <is>
          <t>Yes</t>
        </is>
      </c>
      <c r="E3" s="394" t="inlineStr">
        <is>
          <t>Yes</t>
        </is>
      </c>
      <c r="F3" s="393" t="inlineStr">
        <is>
          <t>No</t>
        </is>
      </c>
      <c r="G3" s="394" t="inlineStr">
        <is>
          <t>Yes</t>
        </is>
      </c>
      <c r="H3" s="394" t="inlineStr">
        <is>
          <t>Yes</t>
        </is>
      </c>
      <c r="I3" s="394" t="inlineStr">
        <is>
          <t>Yes</t>
        </is>
      </c>
      <c r="J3" s="394" t="inlineStr">
        <is>
          <t>Yes</t>
        </is>
      </c>
      <c r="K3" s="394" t="inlineStr">
        <is>
          <t>Yes</t>
        </is>
      </c>
      <c r="L3" s="357" t="inlineStr">
        <is>
          <t>Standard</t>
        </is>
      </c>
    </row>
    <row r="4" ht="16" customHeight="1">
      <c r="A4" s="122" t="inlineStr">
        <is>
          <t>zivillian/esp32-modbus-gateway</t>
        </is>
      </c>
      <c r="B4" s="394" t="inlineStr">
        <is>
          <t>Yes</t>
        </is>
      </c>
      <c r="C4" s="394" t="inlineStr">
        <is>
          <t>Yes</t>
        </is>
      </c>
      <c r="D4" s="394" t="inlineStr">
        <is>
          <t>Yes</t>
        </is>
      </c>
      <c r="E4" s="394" t="inlineStr">
        <is>
          <t>Yes</t>
        </is>
      </c>
      <c r="F4" s="394" t="inlineStr">
        <is>
          <t>Yes</t>
        </is>
      </c>
      <c r="G4" s="394" t="inlineStr">
        <is>
          <t>Yes</t>
        </is>
      </c>
      <c r="H4" s="394" t="inlineStr">
        <is>
          <t>Yes</t>
        </is>
      </c>
      <c r="I4" s="394" t="inlineStr">
        <is>
          <t>Yes</t>
        </is>
      </c>
      <c r="J4" s="393" t="inlineStr">
        <is>
          <t>No</t>
        </is>
      </c>
      <c r="K4" s="393" t="inlineStr">
        <is>
          <t>No</t>
        </is>
      </c>
      <c r="L4" s="123" t="inlineStr">
        <is>
          <t>Standard</t>
        </is>
      </c>
    </row>
    <row r="5" ht="16" customHeight="1">
      <c r="A5" s="355" t="inlineStr">
        <is>
          <t>harihanv/esp32-modbus-gateway</t>
        </is>
      </c>
      <c r="B5" s="394" t="inlineStr">
        <is>
          <t>Yes</t>
        </is>
      </c>
      <c r="C5" s="394" t="inlineStr">
        <is>
          <t>Yes</t>
        </is>
      </c>
      <c r="D5" s="394" t="inlineStr">
        <is>
          <t>Yes</t>
        </is>
      </c>
      <c r="E5" s="394" t="inlineStr">
        <is>
          <t>Yes</t>
        </is>
      </c>
      <c r="F5" s="394" t="inlineStr">
        <is>
          <t>Yes</t>
        </is>
      </c>
      <c r="G5" s="394" t="inlineStr">
        <is>
          <t>Yes</t>
        </is>
      </c>
      <c r="H5" s="393" t="inlineStr">
        <is>
          <t>No</t>
        </is>
      </c>
      <c r="I5" s="394" t="inlineStr">
        <is>
          <t>Yes</t>
        </is>
      </c>
      <c r="J5" s="393" t="inlineStr">
        <is>
          <t>No</t>
        </is>
      </c>
      <c r="K5" s="393" t="inlineStr">
        <is>
          <t>No</t>
        </is>
      </c>
      <c r="L5" s="357" t="inlineStr">
        <is>
          <t>Standard</t>
        </is>
      </c>
    </row>
    <row r="6" ht="16" customHeight="1">
      <c r="A6" s="122" t="inlineStr">
        <is>
          <t>tobiasfaust/SolaxModbusGateway</t>
        </is>
      </c>
      <c r="B6" s="394" t="inlineStr">
        <is>
          <t>Yes</t>
        </is>
      </c>
      <c r="C6" s="394" t="inlineStr">
        <is>
          <t>Yes</t>
        </is>
      </c>
      <c r="D6" s="394" t="inlineStr">
        <is>
          <t>Yes</t>
        </is>
      </c>
      <c r="E6" s="394" t="inlineStr">
        <is>
          <t>Yes</t>
        </is>
      </c>
      <c r="F6" s="393" t="inlineStr">
        <is>
          <t>No</t>
        </is>
      </c>
      <c r="G6" s="394" t="inlineStr">
        <is>
          <t>Yes</t>
        </is>
      </c>
      <c r="H6" s="394" t="inlineStr">
        <is>
          <t>Yes</t>
        </is>
      </c>
      <c r="I6" s="394" t="inlineStr">
        <is>
          <t>Yes</t>
        </is>
      </c>
      <c r="J6" s="394" t="inlineStr">
        <is>
          <t>Yes</t>
        </is>
      </c>
      <c r="K6" s="393" t="inlineStr">
        <is>
          <t>No</t>
        </is>
      </c>
      <c r="L6" s="123" t="inlineStr">
        <is>
          <t>Standard</t>
        </is>
      </c>
    </row>
    <row r="7" ht="16" customHeight="1">
      <c r="A7" s="355" t="inlineStr">
        <is>
          <t>rosenrot00/esphome_modbus_bridge</t>
        </is>
      </c>
      <c r="B7" s="393" t="inlineStr">
        <is>
          <t>No</t>
        </is>
      </c>
      <c r="C7" s="393" t="inlineStr">
        <is>
          <t>No</t>
        </is>
      </c>
      <c r="D7" s="394" t="inlineStr">
        <is>
          <t>Yes</t>
        </is>
      </c>
      <c r="E7" s="394" t="inlineStr">
        <is>
          <t>Yes</t>
        </is>
      </c>
      <c r="F7" s="393" t="inlineStr">
        <is>
          <t>No</t>
        </is>
      </c>
      <c r="G7" s="394" t="inlineStr">
        <is>
          <t>Yes</t>
        </is>
      </c>
      <c r="H7" s="394" t="inlineStr">
        <is>
          <t>Yes</t>
        </is>
      </c>
      <c r="I7" s="394" t="inlineStr">
        <is>
          <t>Yes</t>
        </is>
      </c>
      <c r="J7" s="394" t="inlineStr">
        <is>
          <t>Yes</t>
        </is>
      </c>
      <c r="K7" s="393" t="inlineStr">
        <is>
          <t>No</t>
        </is>
      </c>
      <c r="L7" s="357" t="inlineStr">
        <is>
          <t>Standard</t>
        </is>
      </c>
    </row>
    <row r="8" ht="16" customHeight="1">
      <c r="A8" s="122" t="inlineStr">
        <is>
          <t>eModbus/eModbus</t>
        </is>
      </c>
      <c r="B8" s="394" t="inlineStr">
        <is>
          <t>Yes</t>
        </is>
      </c>
      <c r="C8" s="394" t="inlineStr">
        <is>
          <t>Yes</t>
        </is>
      </c>
      <c r="D8" s="394" t="inlineStr">
        <is>
          <t>Yes</t>
        </is>
      </c>
      <c r="E8" s="394" t="inlineStr">
        <is>
          <t>Yes</t>
        </is>
      </c>
      <c r="F8" s="394" t="inlineStr">
        <is>
          <t>Yes</t>
        </is>
      </c>
      <c r="G8" s="394" t="inlineStr">
        <is>
          <t>Yes</t>
        </is>
      </c>
      <c r="H8" s="394" t="inlineStr">
        <is>
          <t>Yes</t>
        </is>
      </c>
      <c r="I8" s="394" t="inlineStr">
        <is>
          <t>Yes</t>
        </is>
      </c>
      <c r="J8" s="394" t="inlineStr">
        <is>
          <t>Yes</t>
        </is>
      </c>
      <c r="K8" s="394" t="inlineStr">
        <is>
          <t>Yes</t>
        </is>
      </c>
      <c r="L8" s="123" t="inlineStr">
        <is>
          <t>FC01-FC23</t>
        </is>
      </c>
    </row>
    <row r="9" ht="16" customHeight="1">
      <c r="A9" s="355" t="inlineStr">
        <is>
          <t>NamNamIoT/ESP32</t>
        </is>
      </c>
      <c r="B9" s="394" t="inlineStr">
        <is>
          <t>Yes</t>
        </is>
      </c>
      <c r="C9" s="394" t="inlineStr">
        <is>
          <t>Yes</t>
        </is>
      </c>
      <c r="D9" s="394" t="inlineStr">
        <is>
          <t>Yes</t>
        </is>
      </c>
      <c r="E9" s="394" t="inlineStr">
        <is>
          <t>Yes</t>
        </is>
      </c>
      <c r="F9" s="394" t="inlineStr">
        <is>
          <t>Yes</t>
        </is>
      </c>
      <c r="G9" s="394" t="inlineStr">
        <is>
          <t>Yes</t>
        </is>
      </c>
      <c r="H9" s="394" t="inlineStr">
        <is>
          <t>Yes</t>
        </is>
      </c>
      <c r="I9" s="394" t="inlineStr">
        <is>
          <t>Yes</t>
        </is>
      </c>
      <c r="J9" s="394" t="inlineStr">
        <is>
          <t>Yes</t>
        </is>
      </c>
      <c r="K9" s="393" t="inlineStr">
        <is>
          <t>No</t>
        </is>
      </c>
      <c r="L9" s="357" t="inlineStr">
        <is>
          <t>FC01-FC23</t>
        </is>
      </c>
    </row>
    <row r="10" ht="16" customHeight="1">
      <c r="A10" s="122" t="inlineStr">
        <is>
          <t>maxx-ukoo/esp32-modbus-tcp2rtu</t>
        </is>
      </c>
      <c r="B10" s="394" t="inlineStr">
        <is>
          <t>Yes</t>
        </is>
      </c>
      <c r="C10" s="394" t="inlineStr">
        <is>
          <t>Yes</t>
        </is>
      </c>
      <c r="D10" s="394" t="inlineStr">
        <is>
          <t>Yes</t>
        </is>
      </c>
      <c r="E10" s="394" t="inlineStr">
        <is>
          <t>Yes</t>
        </is>
      </c>
      <c r="F10" s="393" t="inlineStr">
        <is>
          <t>No</t>
        </is>
      </c>
      <c r="G10" s="394" t="inlineStr">
        <is>
          <t>Yes</t>
        </is>
      </c>
      <c r="H10" s="393" t="inlineStr">
        <is>
          <t>No</t>
        </is>
      </c>
      <c r="I10" s="394" t="inlineStr">
        <is>
          <t>Yes</t>
        </is>
      </c>
      <c r="J10" s="393" t="inlineStr">
        <is>
          <t>No</t>
        </is>
      </c>
      <c r="K10" s="394" t="inlineStr">
        <is>
          <t>Yes</t>
        </is>
      </c>
      <c r="L10" s="123" t="inlineStr">
        <is>
          <t>Standard</t>
        </is>
      </c>
    </row>
    <row r="11" ht="16" customHeight="1">
      <c r="A11" s="358" t="inlineStr">
        <is>
          <t>espressif/esp-modbus</t>
        </is>
      </c>
      <c r="B11" s="397" t="inlineStr">
        <is>
          <t>Yes</t>
        </is>
      </c>
      <c r="C11" s="397" t="inlineStr">
        <is>
          <t>Yes</t>
        </is>
      </c>
      <c r="D11" s="397" t="inlineStr">
        <is>
          <t>Yes</t>
        </is>
      </c>
      <c r="E11" s="397" t="inlineStr">
        <is>
          <t>Yes</t>
        </is>
      </c>
      <c r="F11" s="397" t="inlineStr">
        <is>
          <t>Yes</t>
        </is>
      </c>
      <c r="G11" s="397" t="inlineStr">
        <is>
          <t>Yes</t>
        </is>
      </c>
      <c r="H11" s="397" t="inlineStr">
        <is>
          <t>Yes</t>
        </is>
      </c>
      <c r="I11" s="397" t="inlineStr">
        <is>
          <t>Yes</t>
        </is>
      </c>
      <c r="J11" s="397" t="inlineStr">
        <is>
          <t>Yes</t>
        </is>
      </c>
      <c r="K11" s="397" t="inlineStr">
        <is>
          <t>Yes</t>
        </is>
      </c>
      <c r="L11" s="360" t="inlineStr">
        <is>
          <t>Standard</t>
        </is>
      </c>
    </row>
    <row r="12">
      <c r="A12" s="64" t="n"/>
      <c r="B12" s="65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66" t="n"/>
    </row>
    <row r="13">
      <c r="A13" s="64" t="n"/>
      <c r="B13" s="65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65" t="n"/>
      <c r="L13" s="66" t="n"/>
    </row>
    <row r="14" ht="20" customHeight="1">
      <c r="A14" s="64" t="inlineStr">
        <is>
          <t>KEY FINDINGS &amp; INSIGHTS</t>
        </is>
      </c>
      <c r="G14" s="65" t="n"/>
      <c r="H14" s="65" t="n"/>
      <c r="I14" s="65" t="n"/>
      <c r="J14" s="65" t="n"/>
      <c r="K14" s="65" t="n"/>
      <c r="L14" s="66" t="n"/>
    </row>
    <row r="15">
      <c r="A15" s="64" t="inlineStr">
        <is>
          <t>• All projects support full Modbus gateway (TCP-to-RTU bridge)—ecosystem provides mature gateway implementations</t>
        </is>
      </c>
      <c r="G15" s="65" t="n"/>
      <c r="H15" s="65" t="n"/>
      <c r="I15" s="65" t="n"/>
      <c r="J15" s="65" t="n"/>
      <c r="K15" s="65" t="n"/>
      <c r="L15" s="66" t="n"/>
    </row>
    <row r="16">
      <c r="A16" s="64" t="inlineStr">
        <is>
          <t>• 7 projects support TCP/RTU master/slave (full Modbus stack); 3 specialize in gateway role</t>
        </is>
      </c>
      <c r="G16" s="65" t="n"/>
      <c r="H16" s="65" t="n"/>
      <c r="I16" s="65" t="n"/>
      <c r="J16" s="65" t="n"/>
      <c r="K16" s="65" t="n"/>
      <c r="L16" s="66" t="n"/>
    </row>
    <row r="17">
      <c r="A17" s="64" t="inlineStr">
        <is>
          <t>• eModbus and esp-modbus best coverage: async, non-blocking, multi-client, FreeRTOS, ASCII, full function codes</t>
        </is>
      </c>
      <c r="G17" s="65" t="n"/>
      <c r="H17" s="65" t="n"/>
      <c r="I17" s="65" t="n"/>
      <c r="J17" s="65" t="n"/>
      <c r="K17" s="65" t="n"/>
      <c r="L17" s="66" t="n"/>
    </row>
    <row r="18">
      <c r="A18" s="64" t="inlineStr">
        <is>
          <t>• Async support: 7/10 projects; Non-blocking: 10/10; Multi-client: 7/10—non-blocking is universal, async is common</t>
        </is>
      </c>
      <c r="G18" s="65" t="n"/>
      <c r="H18" s="65" t="n"/>
      <c r="I18" s="65" t="n"/>
      <c r="J18" s="65" t="n"/>
      <c r="K18" s="65" t="n"/>
      <c r="L18" s="66" t="n"/>
    </row>
    <row r="19">
      <c r="A19" s="106" t="inlineStr">
        <is>
          <t>• Only 5 projects use FreeRTOS tasks (eModbus, ESP32.Modbus-TCP, esp-modbus, vwetter, esp32-modbus-tcp2rtu)</t>
        </is>
      </c>
      <c r="B19" s="400" t="n"/>
      <c r="C19" s="400" t="n"/>
      <c r="D19" s="400" t="n"/>
      <c r="E19" s="400" t="n"/>
      <c r="F19" s="400" t="n"/>
      <c r="G19" s="78" t="n"/>
      <c r="H19" s="78" t="n"/>
      <c r="I19" s="78" t="n"/>
      <c r="J19" s="78" t="n"/>
      <c r="K19" s="78" t="n"/>
      <c r="L19" s="79" t="n"/>
    </row>
  </sheetData>
  <mergeCells count="6">
    <mergeCell ref="A16:F16"/>
    <mergeCell ref="A19:F19"/>
    <mergeCell ref="A14:F14"/>
    <mergeCell ref="A17:F17"/>
    <mergeCell ref="A18:F18"/>
    <mergeCell ref="A15:F15"/>
  </mergeCells>
  <conditionalFormatting sqref="B2:K11">
    <cfRule type="expression" priority="1" dxfId="824">
      <formula>B2="Yes"</formula>
    </cfRule>
    <cfRule type="expression" priority="2" dxfId="824">
      <formula>B2="Y"</formula>
    </cfRule>
    <cfRule type="expression" priority="3" dxfId="824">
      <formula>B2="PASS"</formula>
    </cfRule>
    <cfRule type="expression" priority="4" dxfId="827">
      <formula>B2="No"</formula>
    </cfRule>
    <cfRule type="expression" priority="5" dxfId="828">
      <formula>B2="Partial"</formula>
    </cfRule>
    <cfRule type="expression" priority="6" dxfId="829">
      <formula>B2="No evidence"</formula>
    </cfRule>
    <cfRule type="expression" priority="7" dxfId="829">
      <formula>B2="Not run"</formula>
    </cfRule>
    <cfRule type="expression" priority="8" dxfId="829">
      <formula>B2="N/A"</formula>
    </cfRule>
    <cfRule type="expression" priority="9" dxfId="832">
      <formula>B2="Excellent"</formula>
    </cfRule>
    <cfRule type="expression" priority="10" dxfId="833">
      <formula>B2="Good"</formula>
    </cfRule>
    <cfRule type="expression" priority="11" dxfId="834">
      <formula>B2="Fair"</formula>
    </cfRule>
    <cfRule type="expression" priority="12" dxfId="827">
      <formula>B2="Low"</formula>
    </cfRule>
    <cfRule type="expression" priority="13" dxfId="827">
      <formula>B2="Hard"</formula>
    </cfRule>
    <cfRule type="expression" priority="14" dxfId="824">
      <formula>B2="Easy"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10" defaultColWidth="8.83203125" defaultRowHeight="15"/>
  <cols>
    <col width="32.52000045776367" customWidth="1" min="1" max="1"/>
    <col width="23.93000030517578" customWidth="1" min="2" max="2"/>
    <col width="22.70000076293945" customWidth="1" min="4" max="4"/>
  </cols>
  <sheetData>
    <row r="1" ht="25.5" customHeight="1">
      <c r="A1" s="352" t="inlineStr">
        <is>
          <t>Project</t>
        </is>
      </c>
      <c r="B1" s="353" t="inlineStr">
        <is>
          <t>Sync/Async</t>
        </is>
      </c>
      <c r="C1" s="353" t="inlineStr">
        <is>
          <t>FreeRTOS Tasks</t>
        </is>
      </c>
      <c r="D1" s="353" t="inlineStr">
        <is>
          <t>Modular Structure</t>
        </is>
      </c>
      <c r="E1" s="353" t="inlineStr">
        <is>
          <t>Callback APIs</t>
        </is>
      </c>
      <c r="F1" s="353" t="inlineStr">
        <is>
          <t>Event-Driven</t>
        </is>
      </c>
      <c r="G1" s="353" t="inlineStr">
        <is>
          <t>Reconnect Handling</t>
        </is>
      </c>
      <c r="H1" s="353" t="inlineStr">
        <is>
          <t>Watchdog</t>
        </is>
      </c>
      <c r="I1" s="353" t="inlineStr">
        <is>
          <t>Timeout Handling</t>
        </is>
      </c>
      <c r="J1" s="353" t="inlineStr">
        <is>
          <t>Exception Handling</t>
        </is>
      </c>
      <c r="K1" s="354" t="inlineStr">
        <is>
          <t>CRC Verification</t>
        </is>
      </c>
    </row>
    <row r="2">
      <c r="A2" s="119" t="inlineStr">
        <is>
          <t>Rob2011/ESP32.Modbus-TCP-gateway</t>
        </is>
      </c>
      <c r="B2" s="120" t="inlineStr">
        <is>
          <t>Task-based synchronous gateway</t>
        </is>
      </c>
      <c r="C2" s="390" t="inlineStr">
        <is>
          <t>Yes</t>
        </is>
      </c>
      <c r="D2" s="120" t="inlineStr">
        <is>
          <t>Good</t>
        </is>
      </c>
      <c r="E2" s="120" t="inlineStr">
        <is>
          <t>HTTP handlers</t>
        </is>
      </c>
      <c r="F2" s="120" t="inlineStr">
        <is>
          <t>Partial</t>
        </is>
      </c>
      <c r="G2" s="390" t="inlineStr">
        <is>
          <t>Yes</t>
        </is>
      </c>
      <c r="H2" s="120" t="inlineStr">
        <is>
          <t>No evidence</t>
        </is>
      </c>
      <c r="I2" s="390" t="inlineStr">
        <is>
          <t>Yes</t>
        </is>
      </c>
      <c r="J2" s="390" t="inlineStr">
        <is>
          <t>Yes</t>
        </is>
      </c>
      <c r="K2" s="402" t="inlineStr">
        <is>
          <t>Yes</t>
        </is>
      </c>
    </row>
    <row r="3">
      <c r="A3" s="355" t="inlineStr">
        <is>
          <t>vwetter/esp32-modbus-gateway</t>
        </is>
      </c>
      <c r="B3" s="356" t="inlineStr">
        <is>
          <t>Async web/API plus RTU task</t>
        </is>
      </c>
      <c r="C3" s="394" t="inlineStr">
        <is>
          <t>Yes</t>
        </is>
      </c>
      <c r="D3" s="356" t="inlineStr">
        <is>
          <t>Moderate; single sketch</t>
        </is>
      </c>
      <c r="E3" s="394" t="inlineStr">
        <is>
          <t>Yes</t>
        </is>
      </c>
      <c r="F3" s="394" t="inlineStr">
        <is>
          <t>Yes</t>
        </is>
      </c>
      <c r="G3" s="394" t="inlineStr">
        <is>
          <t>Yes</t>
        </is>
      </c>
      <c r="H3" s="356" t="inlineStr">
        <is>
          <t>No evidence</t>
        </is>
      </c>
      <c r="I3" s="394" t="inlineStr">
        <is>
          <t>Yes</t>
        </is>
      </c>
      <c r="J3" s="394" t="inlineStr">
        <is>
          <t>Yes</t>
        </is>
      </c>
      <c r="K3" s="403" t="inlineStr">
        <is>
          <t>Yes</t>
        </is>
      </c>
    </row>
    <row r="4">
      <c r="A4" s="122" t="inlineStr">
        <is>
          <t>zivillian/esp32-modbus-gateway</t>
        </is>
      </c>
      <c r="B4" s="65" t="inlineStr">
        <is>
          <t>Async gateway using eModbus stack</t>
        </is>
      </c>
      <c r="C4" s="65" t="inlineStr">
        <is>
          <t>Indirect via eModbus</t>
        </is>
      </c>
      <c r="D4" s="65" t="inlineStr">
        <is>
          <t>Good</t>
        </is>
      </c>
      <c r="E4" s="394" t="inlineStr">
        <is>
          <t>Yes</t>
        </is>
      </c>
      <c r="F4" s="394" t="inlineStr">
        <is>
          <t>Yes</t>
        </is>
      </c>
      <c r="G4" s="65" t="inlineStr">
        <is>
          <t>Partial</t>
        </is>
      </c>
      <c r="H4" s="65" t="inlineStr">
        <is>
          <t>No evidence</t>
        </is>
      </c>
      <c r="I4" s="394" t="inlineStr">
        <is>
          <t>Yes</t>
        </is>
      </c>
      <c r="J4" s="394" t="inlineStr">
        <is>
          <t>Yes</t>
        </is>
      </c>
      <c r="K4" s="403" t="inlineStr">
        <is>
          <t>Yes</t>
        </is>
      </c>
    </row>
    <row r="5">
      <c r="A5" s="355" t="inlineStr">
        <is>
          <t>harihanv/esp32-modbus-gateway</t>
        </is>
      </c>
      <c r="B5" s="356" t="inlineStr">
        <is>
          <t>Synchronous loop/state machine</t>
        </is>
      </c>
      <c r="C5" s="356" t="inlineStr">
        <is>
          <t>No explicit evidence</t>
        </is>
      </c>
      <c r="D5" s="356" t="inlineStr">
        <is>
          <t>Moderate multi-file sketch</t>
        </is>
      </c>
      <c r="E5" s="356" t="inlineStr">
        <is>
          <t>No evidence</t>
        </is>
      </c>
      <c r="F5" s="393" t="inlineStr">
        <is>
          <t>No</t>
        </is>
      </c>
      <c r="G5" s="394" t="inlineStr">
        <is>
          <t>Yes</t>
        </is>
      </c>
      <c r="H5" s="356" t="inlineStr">
        <is>
          <t>Partial</t>
        </is>
      </c>
      <c r="I5" s="394" t="inlineStr">
        <is>
          <t>Yes</t>
        </is>
      </c>
      <c r="J5" s="394" t="inlineStr">
        <is>
          <t>Yes</t>
        </is>
      </c>
      <c r="K5" s="403" t="inlineStr">
        <is>
          <t>Yes</t>
        </is>
      </c>
    </row>
    <row r="6">
      <c r="A6" s="122" t="inlineStr">
        <is>
          <t>tobiasfaust/SolaxModbusGateway</t>
        </is>
      </c>
      <c r="B6" s="65" t="inlineStr">
        <is>
          <t>Async web/MQTT application</t>
        </is>
      </c>
      <c r="C6" s="65" t="inlineStr">
        <is>
          <t>Partial</t>
        </is>
      </c>
      <c r="D6" s="65" t="inlineStr">
        <is>
          <t>Good</t>
        </is>
      </c>
      <c r="E6" s="394" t="inlineStr">
        <is>
          <t>Yes</t>
        </is>
      </c>
      <c r="F6" s="394" t="inlineStr">
        <is>
          <t>Yes</t>
        </is>
      </c>
      <c r="G6" s="394" t="inlineStr">
        <is>
          <t>Yes</t>
        </is>
      </c>
      <c r="H6" s="65" t="inlineStr">
        <is>
          <t>No evidence</t>
        </is>
      </c>
      <c r="I6" s="394" t="inlineStr">
        <is>
          <t>Yes</t>
        </is>
      </c>
      <c r="J6" s="394" t="inlineStr">
        <is>
          <t>Yes</t>
        </is>
      </c>
      <c r="K6" s="403" t="inlineStr">
        <is>
          <t>Yes</t>
        </is>
      </c>
    </row>
    <row r="7">
      <c r="A7" s="355" t="inlineStr">
        <is>
          <t>rosenrot00/esphome_modbus_bridge</t>
        </is>
      </c>
      <c r="B7" s="356" t="inlineStr">
        <is>
          <t>ESPHome event-loop component</t>
        </is>
      </c>
      <c r="C7" s="356" t="inlineStr">
        <is>
          <t>No explicit FreeRTOS API</t>
        </is>
      </c>
      <c r="D7" s="356" t="inlineStr">
        <is>
          <t>Good component structure</t>
        </is>
      </c>
      <c r="E7" s="356" t="inlineStr">
        <is>
          <t>ESPHome automations</t>
        </is>
      </c>
      <c r="F7" s="394" t="inlineStr">
        <is>
          <t>Yes</t>
        </is>
      </c>
      <c r="G7" s="394" t="inlineStr">
        <is>
          <t>Yes</t>
        </is>
      </c>
      <c r="H7" s="356" t="inlineStr">
        <is>
          <t>No evidence</t>
        </is>
      </c>
      <c r="I7" s="394" t="inlineStr">
        <is>
          <t>Yes</t>
        </is>
      </c>
      <c r="J7" s="394" t="inlineStr">
        <is>
          <t>Yes</t>
        </is>
      </c>
      <c r="K7" s="403" t="inlineStr">
        <is>
          <t>Yes</t>
        </is>
      </c>
    </row>
    <row r="8">
      <c r="A8" s="122" t="inlineStr">
        <is>
          <t>eModbus/eModbus</t>
        </is>
      </c>
      <c r="B8" s="65" t="inlineStr">
        <is>
          <t>Asynchronous task-based library</t>
        </is>
      </c>
      <c r="C8" s="394" t="inlineStr">
        <is>
          <t>Yes</t>
        </is>
      </c>
      <c r="D8" s="65" t="inlineStr">
        <is>
          <t>Excellent</t>
        </is>
      </c>
      <c r="E8" s="394" t="inlineStr">
        <is>
          <t>Yes</t>
        </is>
      </c>
      <c r="F8" s="394" t="inlineStr">
        <is>
          <t>Yes</t>
        </is>
      </c>
      <c r="G8" s="65" t="inlineStr">
        <is>
          <t>Library-level</t>
        </is>
      </c>
      <c r="H8" s="65" t="inlineStr">
        <is>
          <t>No evidence</t>
        </is>
      </c>
      <c r="I8" s="394" t="inlineStr">
        <is>
          <t>Yes</t>
        </is>
      </c>
      <c r="J8" s="394" t="inlineStr">
        <is>
          <t>Yes</t>
        </is>
      </c>
      <c r="K8" s="403" t="inlineStr">
        <is>
          <t>Yes</t>
        </is>
      </c>
    </row>
    <row r="9">
      <c r="A9" s="355" t="inlineStr">
        <is>
          <t>NamNamIoT/ESP32</t>
        </is>
      </c>
      <c r="B9" s="356" t="inlineStr">
        <is>
          <t>Example-driven loop/event code</t>
        </is>
      </c>
      <c r="C9" s="356" t="inlineStr">
        <is>
          <t>Partial</t>
        </is>
      </c>
      <c r="D9" s="356" t="inlineStr">
        <is>
          <t>Moderate examples</t>
        </is>
      </c>
      <c r="E9" s="356" t="inlineStr">
        <is>
          <t>No evidence</t>
        </is>
      </c>
      <c r="F9" s="356" t="inlineStr">
        <is>
          <t>Partial</t>
        </is>
      </c>
      <c r="G9" s="356" t="inlineStr">
        <is>
          <t>Partial</t>
        </is>
      </c>
      <c r="H9" s="394" t="inlineStr">
        <is>
          <t>Yes</t>
        </is>
      </c>
      <c r="I9" s="394" t="inlineStr">
        <is>
          <t>Yes</t>
        </is>
      </c>
      <c r="J9" s="394" t="inlineStr">
        <is>
          <t>Yes</t>
        </is>
      </c>
      <c r="K9" s="403" t="inlineStr">
        <is>
          <t>Yes</t>
        </is>
      </c>
    </row>
    <row r="10">
      <c r="A10" s="122" t="inlineStr">
        <is>
          <t>maxx-ukoo/esp32-modbus-tcp2rtu</t>
        </is>
      </c>
      <c r="B10" s="65" t="inlineStr">
        <is>
          <t>ESP-IDF event handlers + FreeRTOS</t>
        </is>
      </c>
      <c r="C10" s="394" t="inlineStr">
        <is>
          <t>Yes</t>
        </is>
      </c>
      <c r="D10" s="65" t="inlineStr">
        <is>
          <t>Good</t>
        </is>
      </c>
      <c r="E10" s="394" t="inlineStr">
        <is>
          <t>Yes</t>
        </is>
      </c>
      <c r="F10" s="394" t="inlineStr">
        <is>
          <t>Yes</t>
        </is>
      </c>
      <c r="G10" s="65" t="inlineStr">
        <is>
          <t>Ethernet reconnect handlers</t>
        </is>
      </c>
      <c r="H10" s="65" t="inlineStr">
        <is>
          <t>No evidence</t>
        </is>
      </c>
      <c r="I10" s="394" t="inlineStr">
        <is>
          <t>Yes</t>
        </is>
      </c>
      <c r="J10" s="394" t="inlineStr">
        <is>
          <t>Yes</t>
        </is>
      </c>
      <c r="K10" s="403" t="inlineStr">
        <is>
          <t>Yes</t>
        </is>
      </c>
    </row>
    <row r="11">
      <c r="A11" s="358" t="inlineStr">
        <is>
          <t>espressif/esp-modbus</t>
        </is>
      </c>
      <c r="B11" s="359" t="inlineStr">
        <is>
          <t>ESP-IDF controller/event task model</t>
        </is>
      </c>
      <c r="C11" s="397" t="inlineStr">
        <is>
          <t>Yes</t>
        </is>
      </c>
      <c r="D11" s="359" t="inlineStr">
        <is>
          <t>Excellent</t>
        </is>
      </c>
      <c r="E11" s="397" t="inlineStr">
        <is>
          <t>Yes</t>
        </is>
      </c>
      <c r="F11" s="397" t="inlineStr">
        <is>
          <t>Yes</t>
        </is>
      </c>
      <c r="G11" s="397" t="inlineStr">
        <is>
          <t>Yes</t>
        </is>
      </c>
      <c r="H11" s="359" t="inlineStr">
        <is>
          <t>No evidence</t>
        </is>
      </c>
      <c r="I11" s="397" t="inlineStr">
        <is>
          <t>Yes</t>
        </is>
      </c>
      <c r="J11" s="397" t="inlineStr">
        <is>
          <t>Yes</t>
        </is>
      </c>
      <c r="K11" s="404" t="inlineStr">
        <is>
          <t>Yes</t>
        </is>
      </c>
    </row>
  </sheetData>
  <conditionalFormatting sqref="C2:K11">
    <cfRule type="expression" priority="1" dxfId="824">
      <formula>C2="Yes"</formula>
    </cfRule>
    <cfRule type="expression" priority="2" dxfId="824">
      <formula>C2="Y"</formula>
    </cfRule>
    <cfRule type="expression" priority="3" dxfId="824">
      <formula>C2="PASS"</formula>
    </cfRule>
    <cfRule type="expression" priority="4" dxfId="827">
      <formula>C2="No"</formula>
    </cfRule>
    <cfRule type="expression" priority="5" dxfId="828">
      <formula>C2="Partial"</formula>
    </cfRule>
    <cfRule type="expression" priority="6" dxfId="829">
      <formula>C2="No evidence"</formula>
    </cfRule>
    <cfRule type="expression" priority="7" dxfId="829">
      <formula>C2="Not run"</formula>
    </cfRule>
    <cfRule type="expression" priority="8" dxfId="829">
      <formula>C2="N/A"</formula>
    </cfRule>
    <cfRule type="expression" priority="9" dxfId="832">
      <formula>C2="Excellent"</formula>
    </cfRule>
    <cfRule type="expression" priority="10" dxfId="833">
      <formula>C2="Good"</formula>
    </cfRule>
    <cfRule type="expression" priority="11" dxfId="834">
      <formula>C2="Fair"</formula>
    </cfRule>
    <cfRule type="expression" priority="12" dxfId="827">
      <formula>C2="Low"</formula>
    </cfRule>
    <cfRule type="expression" priority="13" dxfId="827">
      <formula>C2="Hard"</formula>
    </cfRule>
    <cfRule type="expression" priority="14" dxfId="824">
      <formula>C2="Easy"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10" defaultColWidth="8.83203125" defaultRowHeight="15"/>
  <cols>
    <col width="32.52000045776367" customWidth="1" min="1" max="1"/>
    <col width="40" customWidth="1" min="2" max="2"/>
    <col width="43.56000137329102" customWidth="1" min="3" max="3"/>
    <col width="28.5" customWidth="1" min="4" max="4"/>
    <col width="15.34000015258789" customWidth="1" min="9" max="9"/>
  </cols>
  <sheetData>
    <row r="1" ht="25.5" customHeight="1">
      <c r="A1" s="352" t="inlineStr">
        <is>
          <t>Project</t>
        </is>
      </c>
      <c r="B1" s="353" t="inlineStr">
        <is>
          <t>Dependencies Listed</t>
        </is>
      </c>
      <c r="C1" s="353" t="inlineStr">
        <is>
          <t>Arduino Libraries</t>
        </is>
      </c>
      <c r="D1" s="353" t="inlineStr">
        <is>
          <t>ESP-IDF Components</t>
        </is>
      </c>
      <c r="E1" s="353" t="inlineStr">
        <is>
          <t>AsyncTCP</t>
        </is>
      </c>
      <c r="F1" s="353" t="inlineStr">
        <is>
          <t>WiFi Library</t>
        </is>
      </c>
      <c r="G1" s="353" t="inlineStr">
        <is>
          <t>Ethernet Library</t>
        </is>
      </c>
      <c r="H1" s="353" t="inlineStr">
        <is>
          <t>RS485 Library</t>
        </is>
      </c>
      <c r="I1" s="354" t="inlineStr">
        <is>
          <t>Dependency Complexity</t>
        </is>
      </c>
    </row>
    <row r="2" ht="33" customHeight="1">
      <c r="A2" s="119" t="inlineStr">
        <is>
          <t>Rob2011/ESP32.Modbus-TCP-gateway</t>
        </is>
      </c>
      <c r="B2" s="391" t="inlineStr">
        <is>
          <t>No</t>
        </is>
      </c>
      <c r="C2" s="120" t="inlineStr">
        <is>
          <t>None</t>
        </is>
      </c>
      <c r="D2" s="120" t="inlineStr">
        <is>
          <t>None</t>
        </is>
      </c>
      <c r="E2" s="391" t="inlineStr">
        <is>
          <t>No</t>
        </is>
      </c>
      <c r="F2" s="390" t="inlineStr">
        <is>
          <t>Yes</t>
        </is>
      </c>
      <c r="G2" s="391" t="inlineStr">
        <is>
          <t>No</t>
        </is>
      </c>
      <c r="H2" s="390" t="inlineStr">
        <is>
          <t>Yes</t>
        </is>
      </c>
      <c r="I2" s="121" t="inlineStr">
        <is>
          <t>Minimal</t>
        </is>
      </c>
    </row>
    <row r="3" ht="33" customHeight="1">
      <c r="A3" s="355" t="inlineStr">
        <is>
          <t>vwetter/esp32-modbus-gateway</t>
        </is>
      </c>
      <c r="B3" s="393" t="inlineStr">
        <is>
          <t>No</t>
        </is>
      </c>
      <c r="C3" s="356" t="inlineStr">
        <is>
          <t>None</t>
        </is>
      </c>
      <c r="D3" s="356" t="inlineStr">
        <is>
          <t>None</t>
        </is>
      </c>
      <c r="E3" s="394" t="inlineStr">
        <is>
          <t>Yes</t>
        </is>
      </c>
      <c r="F3" s="394" t="inlineStr">
        <is>
          <t>Yes</t>
        </is>
      </c>
      <c r="G3" s="393" t="inlineStr">
        <is>
          <t>No</t>
        </is>
      </c>
      <c r="H3" s="394" t="inlineStr">
        <is>
          <t>Yes</t>
        </is>
      </c>
      <c r="I3" s="357" t="inlineStr">
        <is>
          <t>Minimal</t>
        </is>
      </c>
    </row>
    <row r="4" ht="33" customHeight="1">
      <c r="A4" s="122" t="inlineStr">
        <is>
          <t>zivillian/esp32-modbus-gateway</t>
        </is>
      </c>
      <c r="B4" s="394" t="inlineStr">
        <is>
          <t>Yes</t>
        </is>
      </c>
      <c r="C4" s="65" t="inlineStr">
        <is>
          <t>https://github.com/PBRunot/WiFiManager.git#0404abde0d9d2da5c09be7d0cc669b1188bb1c81; https://github.com/me-no-dev/ESPAsyncWebServer.git; https://github.com/eModbus/eModbus.git#ed343224827600409e4d57e77e60b73ff9c22f1a</t>
        </is>
      </c>
      <c r="D4" s="65" t="inlineStr">
        <is>
          <t>None</t>
        </is>
      </c>
      <c r="E4" s="394" t="inlineStr">
        <is>
          <t>Yes</t>
        </is>
      </c>
      <c r="F4" s="394" t="inlineStr">
        <is>
          <t>Yes</t>
        </is>
      </c>
      <c r="G4" s="393" t="inlineStr">
        <is>
          <t>No</t>
        </is>
      </c>
      <c r="H4" s="393" t="inlineStr">
        <is>
          <t>No</t>
        </is>
      </c>
      <c r="I4" s="123" t="inlineStr">
        <is>
          <t>Moderate</t>
        </is>
      </c>
    </row>
    <row r="5" ht="33" customHeight="1">
      <c r="A5" s="355" t="inlineStr">
        <is>
          <t>harihanv/esp32-modbus-gateway</t>
        </is>
      </c>
      <c r="B5" s="393" t="inlineStr">
        <is>
          <t>No</t>
        </is>
      </c>
      <c r="C5" s="356" t="inlineStr">
        <is>
          <t>None</t>
        </is>
      </c>
      <c r="D5" s="356" t="inlineStr">
        <is>
          <t>None</t>
        </is>
      </c>
      <c r="E5" s="393" t="inlineStr">
        <is>
          <t>No</t>
        </is>
      </c>
      <c r="F5" s="394" t="inlineStr">
        <is>
          <t>Yes</t>
        </is>
      </c>
      <c r="G5" s="394" t="inlineStr">
        <is>
          <t>Yes</t>
        </is>
      </c>
      <c r="H5" s="394" t="inlineStr">
        <is>
          <t>Yes</t>
        </is>
      </c>
      <c r="I5" s="357" t="inlineStr">
        <is>
          <t>Minimal</t>
        </is>
      </c>
    </row>
    <row r="6" ht="33" customHeight="1">
      <c r="A6" s="122" t="inlineStr">
        <is>
          <t>tobiasfaust/SolaxModbusGateway</t>
        </is>
      </c>
      <c r="B6" s="394" t="inlineStr">
        <is>
          <t>Yes</t>
        </is>
      </c>
      <c r="C6" s="65" t="inlineStr">
        <is>
          <t>knolleary/PubSubClient; bblanchon/ArduinoJson@&gt;6.19.0; EinarArnason/ArduinoQueue</t>
        </is>
      </c>
      <c r="D6" s="65" t="inlineStr">
        <is>
          <t>None</t>
        </is>
      </c>
      <c r="E6" s="394" t="inlineStr">
        <is>
          <t>Yes</t>
        </is>
      </c>
      <c r="F6" s="394" t="inlineStr">
        <is>
          <t>Yes</t>
        </is>
      </c>
      <c r="G6" s="394" t="inlineStr">
        <is>
          <t>Yes</t>
        </is>
      </c>
      <c r="H6" s="394" t="inlineStr">
        <is>
          <t>Yes</t>
        </is>
      </c>
      <c r="I6" s="123" t="inlineStr">
        <is>
          <t>High</t>
        </is>
      </c>
    </row>
    <row r="7" ht="33" customHeight="1">
      <c r="A7" s="355" t="inlineStr">
        <is>
          <t>rosenrot00/esphome_modbus_bridge</t>
        </is>
      </c>
      <c r="B7" s="393" t="inlineStr">
        <is>
          <t>No</t>
        </is>
      </c>
      <c r="C7" s="356" t="inlineStr">
        <is>
          <t>None</t>
        </is>
      </c>
      <c r="D7" s="356" t="inlineStr">
        <is>
          <t>None</t>
        </is>
      </c>
      <c r="E7" s="393" t="inlineStr">
        <is>
          <t>No</t>
        </is>
      </c>
      <c r="F7" s="394" t="inlineStr">
        <is>
          <t>Yes</t>
        </is>
      </c>
      <c r="G7" s="393" t="inlineStr">
        <is>
          <t>No</t>
        </is>
      </c>
      <c r="H7" s="394" t="inlineStr">
        <is>
          <t>Yes</t>
        </is>
      </c>
      <c r="I7" s="357" t="inlineStr">
        <is>
          <t>Minimal</t>
        </is>
      </c>
    </row>
    <row r="8" ht="33" customHeight="1">
      <c r="A8" s="122" t="inlineStr">
        <is>
          <t>eModbus/eModbus</t>
        </is>
      </c>
      <c r="B8" s="394" t="inlineStr">
        <is>
          <t>Yes</t>
        </is>
      </c>
      <c r="C8" s="65" t="inlineStr">
        <is>
          <t>AsyncTCP; ESPAsyncTCP; Ethernet</t>
        </is>
      </c>
      <c r="D8" s="65" t="inlineStr">
        <is>
          <t>None</t>
        </is>
      </c>
      <c r="E8" s="394" t="inlineStr">
        <is>
          <t>Yes</t>
        </is>
      </c>
      <c r="F8" s="394" t="inlineStr">
        <is>
          <t>Yes</t>
        </is>
      </c>
      <c r="G8" s="394" t="inlineStr">
        <is>
          <t>Yes</t>
        </is>
      </c>
      <c r="H8" s="394" t="inlineStr">
        <is>
          <t>Yes</t>
        </is>
      </c>
      <c r="I8" s="123" t="inlineStr">
        <is>
          <t>Low</t>
        </is>
      </c>
    </row>
    <row r="9" ht="33" customHeight="1">
      <c r="A9" s="355" t="inlineStr">
        <is>
          <t>NamNamIoT/ESP32</t>
        </is>
      </c>
      <c r="B9" s="393" t="inlineStr">
        <is>
          <t>No</t>
        </is>
      </c>
      <c r="C9" s="356" t="inlineStr">
        <is>
          <t>None</t>
        </is>
      </c>
      <c r="D9" s="356" t="inlineStr">
        <is>
          <t>None</t>
        </is>
      </c>
      <c r="E9" s="393" t="inlineStr">
        <is>
          <t>No</t>
        </is>
      </c>
      <c r="F9" s="394" t="inlineStr">
        <is>
          <t>Yes</t>
        </is>
      </c>
      <c r="G9" s="394" t="inlineStr">
        <is>
          <t>Yes</t>
        </is>
      </c>
      <c r="H9" s="394" t="inlineStr">
        <is>
          <t>Yes</t>
        </is>
      </c>
      <c r="I9" s="357" t="inlineStr">
        <is>
          <t>Minimal</t>
        </is>
      </c>
    </row>
    <row r="10" ht="33" customHeight="1">
      <c r="A10" s="122" t="inlineStr">
        <is>
          <t>maxx-ukoo/esp32-modbus-tcp2rtu</t>
        </is>
      </c>
      <c r="B10" s="393" t="inlineStr">
        <is>
          <t>No</t>
        </is>
      </c>
      <c r="C10" s="65" t="inlineStr">
        <is>
          <t>None</t>
        </is>
      </c>
      <c r="D10" s="65" t="inlineStr">
        <is>
          <t>None</t>
        </is>
      </c>
      <c r="E10" s="393" t="inlineStr">
        <is>
          <t>No</t>
        </is>
      </c>
      <c r="F10" s="393" t="inlineStr">
        <is>
          <t>No</t>
        </is>
      </c>
      <c r="G10" s="394" t="inlineStr">
        <is>
          <t>Yes</t>
        </is>
      </c>
      <c r="H10" s="394" t="inlineStr">
        <is>
          <t>Yes</t>
        </is>
      </c>
      <c r="I10" s="123" t="inlineStr">
        <is>
          <t>Minimal</t>
        </is>
      </c>
    </row>
    <row r="11" ht="33" customHeight="1">
      <c r="A11" s="358" t="inlineStr">
        <is>
          <t>espressif/esp-modbus</t>
        </is>
      </c>
      <c r="B11" s="397" t="inlineStr">
        <is>
          <t>Yes</t>
        </is>
      </c>
      <c r="C11" s="359" t="inlineStr">
        <is>
          <t>None</t>
        </is>
      </c>
      <c r="D11" s="359" t="inlineStr">
        <is>
          <t>${requires}; ${priv_requires}</t>
        </is>
      </c>
      <c r="E11" s="405" t="inlineStr">
        <is>
          <t>No</t>
        </is>
      </c>
      <c r="F11" s="397" t="inlineStr">
        <is>
          <t>Yes</t>
        </is>
      </c>
      <c r="G11" s="397" t="inlineStr">
        <is>
          <t>Yes</t>
        </is>
      </c>
      <c r="H11" s="397" t="inlineStr">
        <is>
          <t>Yes</t>
        </is>
      </c>
      <c r="I11" s="360" t="inlineStr">
        <is>
          <t>Low</t>
        </is>
      </c>
    </row>
    <row r="12">
      <c r="A12" s="64" t="n"/>
      <c r="B12" s="65" t="n"/>
      <c r="C12" s="65" t="n"/>
      <c r="D12" s="65" t="n"/>
      <c r="E12" s="65" t="n"/>
      <c r="F12" s="65" t="n"/>
      <c r="G12" s="65" t="n"/>
      <c r="H12" s="65" t="n"/>
      <c r="I12" s="66" t="n"/>
    </row>
    <row r="13">
      <c r="A13" s="64" t="n"/>
      <c r="B13" s="65" t="n"/>
      <c r="C13" s="65" t="n"/>
      <c r="D13" s="65" t="n"/>
      <c r="E13" s="65" t="n"/>
      <c r="F13" s="65" t="n"/>
      <c r="G13" s="65" t="n"/>
      <c r="H13" s="65" t="n"/>
      <c r="I13" s="66" t="n"/>
    </row>
    <row r="14" ht="20" customHeight="1">
      <c r="A14" s="64" t="inlineStr">
        <is>
          <t>KEY FINDINGS &amp; INSIGHTS</t>
        </is>
      </c>
      <c r="G14" s="65" t="n"/>
      <c r="H14" s="65" t="n"/>
      <c r="I14" s="66" t="n"/>
    </row>
    <row r="15">
      <c r="A15" s="64" t="inlineStr">
        <is>
          <t>• 6 projects have minimal dependencies—easier to maintain and deploy in resource-constrained environments</t>
        </is>
      </c>
      <c r="G15" s="65" t="n"/>
      <c r="H15" s="65" t="n"/>
      <c r="I15" s="66" t="n"/>
    </row>
    <row r="16">
      <c r="A16" s="64" t="inlineStr">
        <is>
          <t>• eModbus and esp-modbus have low dependency complexity but full feature support (AsyncTCP, WiFi, Ethernet, RS485)</t>
        </is>
      </c>
      <c r="G16" s="65" t="n"/>
      <c r="H16" s="65" t="n"/>
      <c r="I16" s="66" t="n"/>
    </row>
    <row r="17">
      <c r="A17" s="64" t="inlineStr">
        <is>
          <t>• SolaxModbusGateway has highest complexity (11+ libs) but comprehensive feature set including MQTT/JSON support</t>
        </is>
      </c>
      <c r="G17" s="65" t="n"/>
      <c r="H17" s="65" t="n"/>
      <c r="I17" s="66" t="n"/>
    </row>
    <row r="18">
      <c r="A18" s="64" t="inlineStr">
        <is>
          <t>• WiFi support: 9/10 projects; Ethernet: 6/10; AsyncTCP: 5/10—WiFi is de facto standard</t>
        </is>
      </c>
      <c r="G18" s="65" t="n"/>
      <c r="H18" s="65" t="n"/>
      <c r="I18" s="66" t="n"/>
    </row>
    <row r="19">
      <c r="A19" s="106" t="inlineStr">
        <is>
          <t>• RS485 support: 8/10 projects—strong Modbus RTU/gateway compatibility across the ecosystem</t>
        </is>
      </c>
      <c r="B19" s="400" t="n"/>
      <c r="C19" s="400" t="n"/>
      <c r="D19" s="400" t="n"/>
      <c r="E19" s="400" t="n"/>
      <c r="F19" s="400" t="n"/>
      <c r="G19" s="78" t="n"/>
      <c r="H19" s="78" t="n"/>
      <c r="I19" s="79" t="n"/>
    </row>
  </sheetData>
  <mergeCells count="6">
    <mergeCell ref="A16:F16"/>
    <mergeCell ref="A19:F19"/>
    <mergeCell ref="A14:F14"/>
    <mergeCell ref="A17:F17"/>
    <mergeCell ref="A18:F18"/>
    <mergeCell ref="A15:F15"/>
  </mergeCells>
  <conditionalFormatting sqref="B2:I11">
    <cfRule type="expression" priority="1" dxfId="824">
      <formula>B2="Yes"</formula>
    </cfRule>
    <cfRule type="expression" priority="2" dxfId="824">
      <formula>B2="Y"</formula>
    </cfRule>
    <cfRule type="expression" priority="3" dxfId="824">
      <formula>B2="PASS"</formula>
    </cfRule>
    <cfRule type="expression" priority="4" dxfId="827">
      <formula>B2="No"</formula>
    </cfRule>
    <cfRule type="expression" priority="5" dxfId="828">
      <formula>B2="Partial"</formula>
    </cfRule>
    <cfRule type="expression" priority="6" dxfId="829">
      <formula>B2="No evidence"</formula>
    </cfRule>
    <cfRule type="expression" priority="7" dxfId="829">
      <formula>B2="Not run"</formula>
    </cfRule>
    <cfRule type="expression" priority="8" dxfId="829">
      <formula>B2="N/A"</formula>
    </cfRule>
    <cfRule type="expression" priority="9" dxfId="832">
      <formula>B2="Excellent"</formula>
    </cfRule>
    <cfRule type="expression" priority="10" dxfId="833">
      <formula>B2="Good"</formula>
    </cfRule>
    <cfRule type="expression" priority="11" dxfId="834">
      <formula>B2="Fair"</formula>
    </cfRule>
    <cfRule type="expression" priority="12" dxfId="827">
      <formula>B2="Low"</formula>
    </cfRule>
    <cfRule type="expression" priority="13" dxfId="827">
      <formula>B2="Hard"</formula>
    </cfRule>
    <cfRule type="expression" priority="14" dxfId="824">
      <formula>B2="Easy"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10" defaultColWidth="8.83203125" defaultRowHeight="15"/>
  <cols>
    <col width="32.52000045776367" customWidth="1" min="1" max="1"/>
    <col width="22.70000076293945" customWidth="1" min="2" max="2"/>
    <col width="16.55999946594238" customWidth="1" min="8" max="8"/>
    <col width="17.79000091552734" customWidth="1" min="9" max="9"/>
  </cols>
  <sheetData>
    <row r="1" ht="25.5" customHeight="1">
      <c r="A1" s="352" t="inlineStr">
        <is>
          <t>Project</t>
        </is>
      </c>
      <c r="B1" s="353" t="inlineStr">
        <is>
          <t>Build Tool</t>
        </is>
      </c>
      <c r="C1" s="353" t="inlineStr">
        <is>
          <t>Arduino IDE</t>
        </is>
      </c>
      <c r="D1" s="353" t="inlineStr">
        <is>
          <t>PlatformIO</t>
        </is>
      </c>
      <c r="E1" s="353" t="inlineStr">
        <is>
          <t>ESP-IDF</t>
        </is>
      </c>
      <c r="F1" s="353" t="inlineStr">
        <is>
          <t>CMake</t>
        </is>
      </c>
      <c r="G1" s="353" t="inlineStr">
        <is>
          <t>Component Manager</t>
        </is>
      </c>
      <c r="H1" s="353" t="inlineStr">
        <is>
          <t>GitHub Actions</t>
        </is>
      </c>
      <c r="I1" s="353" t="inlineStr">
        <is>
          <t>CI/CD Pipeline</t>
        </is>
      </c>
      <c r="J1" s="353" t="inlineStr">
        <is>
          <t>Automated Tests</t>
        </is>
      </c>
      <c r="K1" s="353" t="inlineStr">
        <is>
          <t>Unit Tests</t>
        </is>
      </c>
      <c r="L1" s="354" t="inlineStr">
        <is>
          <t>Examples Included</t>
        </is>
      </c>
    </row>
    <row r="2">
      <c r="A2" s="119" t="inlineStr">
        <is>
          <t>Rob2011/ESP32.Modbus-TCP-gateway</t>
        </is>
      </c>
      <c r="B2" s="120" t="inlineStr">
        <is>
          <t>Arduino IDE</t>
        </is>
      </c>
      <c r="C2" s="390" t="inlineStr">
        <is>
          <t>Yes</t>
        </is>
      </c>
      <c r="D2" s="391" t="inlineStr">
        <is>
          <t>No</t>
        </is>
      </c>
      <c r="E2" s="391" t="inlineStr">
        <is>
          <t>No</t>
        </is>
      </c>
      <c r="F2" s="391" t="inlineStr">
        <is>
          <t>No</t>
        </is>
      </c>
      <c r="G2" s="391" t="inlineStr">
        <is>
          <t>No</t>
        </is>
      </c>
      <c r="H2" s="120" t="inlineStr">
        <is>
          <t>No evidence</t>
        </is>
      </c>
      <c r="I2" s="120" t="inlineStr">
        <is>
          <t>No evidence</t>
        </is>
      </c>
      <c r="J2" s="391" t="inlineStr">
        <is>
          <t>No</t>
        </is>
      </c>
      <c r="K2" s="391" t="inlineStr">
        <is>
          <t>No</t>
        </is>
      </c>
      <c r="L2" s="402" t="inlineStr">
        <is>
          <t>Yes</t>
        </is>
      </c>
    </row>
    <row r="3">
      <c r="A3" s="355" t="inlineStr">
        <is>
          <t>vwetter/esp32-modbus-gateway</t>
        </is>
      </c>
      <c r="B3" s="356" t="inlineStr">
        <is>
          <t>Arduino IDE</t>
        </is>
      </c>
      <c r="C3" s="394" t="inlineStr">
        <is>
          <t>Yes</t>
        </is>
      </c>
      <c r="D3" s="393" t="inlineStr">
        <is>
          <t>No</t>
        </is>
      </c>
      <c r="E3" s="393" t="inlineStr">
        <is>
          <t>No</t>
        </is>
      </c>
      <c r="F3" s="393" t="inlineStr">
        <is>
          <t>No</t>
        </is>
      </c>
      <c r="G3" s="393" t="inlineStr">
        <is>
          <t>No</t>
        </is>
      </c>
      <c r="H3" s="356" t="inlineStr">
        <is>
          <t>No evidence</t>
        </is>
      </c>
      <c r="I3" s="356" t="inlineStr">
        <is>
          <t>No evidence</t>
        </is>
      </c>
      <c r="J3" s="393" t="inlineStr">
        <is>
          <t>No</t>
        </is>
      </c>
      <c r="K3" s="393" t="inlineStr">
        <is>
          <t>No</t>
        </is>
      </c>
      <c r="L3" s="403" t="inlineStr">
        <is>
          <t>Yes</t>
        </is>
      </c>
    </row>
    <row r="4">
      <c r="A4" s="122" t="inlineStr">
        <is>
          <t>zivillian/esp32-modbus-gateway</t>
        </is>
      </c>
      <c r="B4" s="65" t="inlineStr">
        <is>
          <t>PlatformIO</t>
        </is>
      </c>
      <c r="C4" s="65" t="inlineStr">
        <is>
          <t>Indirect</t>
        </is>
      </c>
      <c r="D4" s="394" t="inlineStr">
        <is>
          <t>Yes</t>
        </is>
      </c>
      <c r="E4" s="393" t="inlineStr">
        <is>
          <t>No</t>
        </is>
      </c>
      <c r="F4" s="393" t="inlineStr">
        <is>
          <t>No</t>
        </is>
      </c>
      <c r="G4" s="393" t="inlineStr">
        <is>
          <t>No</t>
        </is>
      </c>
      <c r="H4" s="394" t="inlineStr">
        <is>
          <t>Yes</t>
        </is>
      </c>
      <c r="I4" s="65" t="inlineStr">
        <is>
          <t>Build workflow</t>
        </is>
      </c>
      <c r="J4" s="65" t="inlineStr">
        <is>
          <t>No evidence</t>
        </is>
      </c>
      <c r="K4" s="65" t="inlineStr">
        <is>
          <t>No evidence</t>
        </is>
      </c>
      <c r="L4" s="403" t="inlineStr">
        <is>
          <t>Yes</t>
        </is>
      </c>
    </row>
    <row r="5">
      <c r="A5" s="355" t="inlineStr">
        <is>
          <t>harihanv/esp32-modbus-gateway</t>
        </is>
      </c>
      <c r="B5" s="356" t="inlineStr">
        <is>
          <t>Arduino IDE</t>
        </is>
      </c>
      <c r="C5" s="394" t="inlineStr">
        <is>
          <t>Yes</t>
        </is>
      </c>
      <c r="D5" s="393" t="inlineStr">
        <is>
          <t>No</t>
        </is>
      </c>
      <c r="E5" s="393" t="inlineStr">
        <is>
          <t>No</t>
        </is>
      </c>
      <c r="F5" s="393" t="inlineStr">
        <is>
          <t>No</t>
        </is>
      </c>
      <c r="G5" s="393" t="inlineStr">
        <is>
          <t>No</t>
        </is>
      </c>
      <c r="H5" s="356" t="inlineStr">
        <is>
          <t>No evidence</t>
        </is>
      </c>
      <c r="I5" s="356" t="inlineStr">
        <is>
          <t>No evidence</t>
        </is>
      </c>
      <c r="J5" s="393" t="inlineStr">
        <is>
          <t>No</t>
        </is>
      </c>
      <c r="K5" s="393" t="inlineStr">
        <is>
          <t>No</t>
        </is>
      </c>
      <c r="L5" s="403" t="inlineStr">
        <is>
          <t>Yes</t>
        </is>
      </c>
    </row>
    <row r="6">
      <c r="A6" s="122" t="inlineStr">
        <is>
          <t>tobiasfaust/SolaxModbusGateway</t>
        </is>
      </c>
      <c r="B6" s="65" t="inlineStr">
        <is>
          <t>PlatformIO</t>
        </is>
      </c>
      <c r="C6" s="393" t="inlineStr">
        <is>
          <t>No</t>
        </is>
      </c>
      <c r="D6" s="394" t="inlineStr">
        <is>
          <t>Yes</t>
        </is>
      </c>
      <c r="E6" s="393" t="inlineStr">
        <is>
          <t>No</t>
        </is>
      </c>
      <c r="F6" s="393" t="inlineStr">
        <is>
          <t>No</t>
        </is>
      </c>
      <c r="G6" s="393" t="inlineStr">
        <is>
          <t>No</t>
        </is>
      </c>
      <c r="H6" s="394" t="inlineStr">
        <is>
          <t>Yes</t>
        </is>
      </c>
      <c r="I6" s="65" t="inlineStr">
        <is>
          <t>Build/deploy workflow</t>
        </is>
      </c>
      <c r="J6" s="65" t="inlineStr">
        <is>
          <t>Example tests</t>
        </is>
      </c>
      <c r="K6" s="65" t="inlineStr">
        <is>
          <t>No evidence</t>
        </is>
      </c>
      <c r="L6" s="403" t="inlineStr">
        <is>
          <t>Yes</t>
        </is>
      </c>
    </row>
    <row r="7">
      <c r="A7" s="355" t="inlineStr">
        <is>
          <t>rosenrot00/esphome_modbus_bridge</t>
        </is>
      </c>
      <c r="B7" s="356" t="inlineStr">
        <is>
          <t>ESPHome</t>
        </is>
      </c>
      <c r="C7" s="393" t="inlineStr">
        <is>
          <t>No</t>
        </is>
      </c>
      <c r="D7" s="393" t="inlineStr">
        <is>
          <t>No</t>
        </is>
      </c>
      <c r="E7" s="356" t="inlineStr">
        <is>
          <t>ESPHome supports ESP-IDF/Arduino</t>
        </is>
      </c>
      <c r="F7" s="356" t="inlineStr">
        <is>
          <t>ESPHome managed</t>
        </is>
      </c>
      <c r="G7" s="393" t="inlineStr">
        <is>
          <t>No</t>
        </is>
      </c>
      <c r="H7" s="356" t="inlineStr">
        <is>
          <t>No evidence</t>
        </is>
      </c>
      <c r="I7" s="356" t="inlineStr">
        <is>
          <t>No evidence</t>
        </is>
      </c>
      <c r="J7" s="356" t="inlineStr">
        <is>
          <t>No evidence</t>
        </is>
      </c>
      <c r="K7" s="356" t="inlineStr">
        <is>
          <t>No evidence</t>
        </is>
      </c>
      <c r="L7" s="403" t="inlineStr">
        <is>
          <t>Yes</t>
        </is>
      </c>
    </row>
    <row r="8">
      <c r="A8" s="122" t="inlineStr">
        <is>
          <t>eModbus/eModbus</t>
        </is>
      </c>
      <c r="B8" s="65" t="inlineStr">
        <is>
          <t>Arduino Library / PlatformIO CI</t>
        </is>
      </c>
      <c r="C8" s="394" t="inlineStr">
        <is>
          <t>Yes</t>
        </is>
      </c>
      <c r="D8" s="394" t="inlineStr">
        <is>
          <t>Yes</t>
        </is>
      </c>
      <c r="E8" s="393" t="inlineStr">
        <is>
          <t>No</t>
        </is>
      </c>
      <c r="F8" s="393" t="inlineStr">
        <is>
          <t>No</t>
        </is>
      </c>
      <c r="G8" s="393" t="inlineStr">
        <is>
          <t>No</t>
        </is>
      </c>
      <c r="H8" s="394" t="inlineStr">
        <is>
          <t>Yes</t>
        </is>
      </c>
      <c r="I8" s="65" t="inlineStr">
        <is>
          <t>Build workflow</t>
        </is>
      </c>
      <c r="J8" s="394" t="inlineStr">
        <is>
          <t>Yes</t>
        </is>
      </c>
      <c r="K8" s="65" t="inlineStr">
        <is>
          <t>Partial</t>
        </is>
      </c>
      <c r="L8" s="403" t="inlineStr">
        <is>
          <t>Yes</t>
        </is>
      </c>
    </row>
    <row r="9">
      <c r="A9" s="355" t="inlineStr">
        <is>
          <t>NamNamIoT/ESP32</t>
        </is>
      </c>
      <c r="B9" s="356" t="inlineStr">
        <is>
          <t>Arduino IDE</t>
        </is>
      </c>
      <c r="C9" s="394" t="inlineStr">
        <is>
          <t>Yes</t>
        </is>
      </c>
      <c r="D9" s="393" t="inlineStr">
        <is>
          <t>No</t>
        </is>
      </c>
      <c r="E9" s="393" t="inlineStr">
        <is>
          <t>No</t>
        </is>
      </c>
      <c r="F9" s="393" t="inlineStr">
        <is>
          <t>No</t>
        </is>
      </c>
      <c r="G9" s="393" t="inlineStr">
        <is>
          <t>No</t>
        </is>
      </c>
      <c r="H9" s="356" t="inlineStr">
        <is>
          <t>No evidence</t>
        </is>
      </c>
      <c r="I9" s="356" t="inlineStr">
        <is>
          <t>No evidence</t>
        </is>
      </c>
      <c r="J9" s="393" t="inlineStr">
        <is>
          <t>No</t>
        </is>
      </c>
      <c r="K9" s="393" t="inlineStr">
        <is>
          <t>No</t>
        </is>
      </c>
      <c r="L9" s="403" t="inlineStr">
        <is>
          <t>Yes</t>
        </is>
      </c>
    </row>
    <row r="10">
      <c r="A10" s="122" t="inlineStr">
        <is>
          <t>maxx-ukoo/esp32-modbus-tcp2rtu</t>
        </is>
      </c>
      <c r="B10" s="65" t="inlineStr">
        <is>
          <t>ESP-IDF + CMake</t>
        </is>
      </c>
      <c r="C10" s="393" t="inlineStr">
        <is>
          <t>No</t>
        </is>
      </c>
      <c r="D10" s="393" t="inlineStr">
        <is>
          <t>No</t>
        </is>
      </c>
      <c r="E10" s="394" t="inlineStr">
        <is>
          <t>Yes</t>
        </is>
      </c>
      <c r="F10" s="394" t="inlineStr">
        <is>
          <t>Yes</t>
        </is>
      </c>
      <c r="G10" s="393" t="inlineStr">
        <is>
          <t>No</t>
        </is>
      </c>
      <c r="H10" s="65" t="inlineStr">
        <is>
          <t>No evidence</t>
        </is>
      </c>
      <c r="I10" s="65" t="inlineStr">
        <is>
          <t>No evidence</t>
        </is>
      </c>
      <c r="J10" s="65" t="inlineStr">
        <is>
          <t>Limited script</t>
        </is>
      </c>
      <c r="K10" s="65" t="inlineStr">
        <is>
          <t>No evidence</t>
        </is>
      </c>
      <c r="L10" s="403" t="inlineStr">
        <is>
          <t>Yes</t>
        </is>
      </c>
    </row>
    <row r="11">
      <c r="A11" s="358" t="inlineStr">
        <is>
          <t>espressif/esp-modbus</t>
        </is>
      </c>
      <c r="B11" s="359" t="inlineStr">
        <is>
          <t>ESP-IDF + CMake</t>
        </is>
      </c>
      <c r="C11" s="405" t="inlineStr">
        <is>
          <t>No</t>
        </is>
      </c>
      <c r="D11" s="405" t="inlineStr">
        <is>
          <t>No</t>
        </is>
      </c>
      <c r="E11" s="397" t="inlineStr">
        <is>
          <t>Yes</t>
        </is>
      </c>
      <c r="F11" s="397" t="inlineStr">
        <is>
          <t>Yes</t>
        </is>
      </c>
      <c r="G11" s="397" t="inlineStr">
        <is>
          <t>Yes</t>
        </is>
      </c>
      <c r="H11" s="397" t="inlineStr">
        <is>
          <t>Yes</t>
        </is>
      </c>
      <c r="I11" s="359" t="inlineStr">
        <is>
          <t>CI/test pipelines</t>
        </is>
      </c>
      <c r="J11" s="397" t="inlineStr">
        <is>
          <t>Yes</t>
        </is>
      </c>
      <c r="K11" s="397" t="inlineStr">
        <is>
          <t>Yes</t>
        </is>
      </c>
      <c r="L11" s="404" t="inlineStr">
        <is>
          <t>Yes</t>
        </is>
      </c>
    </row>
  </sheetData>
  <conditionalFormatting sqref="C2:L11">
    <cfRule type="expression" priority="1" dxfId="824">
      <formula>C2="Yes"</formula>
    </cfRule>
    <cfRule type="expression" priority="2" dxfId="824">
      <formula>C2="Y"</formula>
    </cfRule>
    <cfRule type="expression" priority="3" dxfId="824">
      <formula>C2="PASS"</formula>
    </cfRule>
    <cfRule type="expression" priority="4" dxfId="827">
      <formula>C2="No"</formula>
    </cfRule>
    <cfRule type="expression" priority="5" dxfId="828">
      <formula>C2="Partial"</formula>
    </cfRule>
    <cfRule type="expression" priority="6" dxfId="829">
      <formula>C2="No evidence"</formula>
    </cfRule>
    <cfRule type="expression" priority="7" dxfId="829">
      <formula>C2="Not run"</formula>
    </cfRule>
    <cfRule type="expression" priority="8" dxfId="829">
      <formula>C2="N/A"</formula>
    </cfRule>
    <cfRule type="expression" priority="9" dxfId="832">
      <formula>C2="Excellent"</formula>
    </cfRule>
    <cfRule type="expression" priority="10" dxfId="833">
      <formula>C2="Good"</formula>
    </cfRule>
    <cfRule type="expression" priority="11" dxfId="834">
      <formula>C2="Fair"</formula>
    </cfRule>
    <cfRule type="expression" priority="12" dxfId="827">
      <formula>C2="Low"</formula>
    </cfRule>
    <cfRule type="expression" priority="13" dxfId="827">
      <formula>C2="Hard"</formula>
    </cfRule>
    <cfRule type="expression" priority="14" dxfId="824">
      <formula>C2="Easy"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10" defaultColWidth="8.83203125" defaultRowHeight="15"/>
  <cols>
    <col width="32.52000045776367" customWidth="1" min="1" max="1"/>
    <col width="14.72000026702881" customWidth="1" min="2" max="2"/>
    <col width="18.39999961853027" customWidth="1" min="3" max="3"/>
    <col width="17.79000091552734" customWidth="1" min="6" max="6"/>
    <col width="19.6299991607666" customWidth="1" min="7" max="7"/>
    <col width="17.18000030517578" customWidth="1" min="8" max="8"/>
  </cols>
  <sheetData>
    <row r="1" ht="25.5" customHeight="1">
      <c r="A1" s="352" t="inlineStr">
        <is>
          <t>Project</t>
        </is>
      </c>
      <c r="B1" s="353" t="inlineStr">
        <is>
          <t>README Quality</t>
        </is>
      </c>
      <c r="C1" s="353" t="inlineStr">
        <is>
          <t>API Docs</t>
        </is>
      </c>
      <c r="D1" s="353" t="inlineStr">
        <is>
          <t>Example Code</t>
        </is>
      </c>
      <c r="E1" s="353" t="inlineStr">
        <is>
          <t>Wiring Diagrams</t>
        </is>
      </c>
      <c r="F1" s="353" t="inlineStr">
        <is>
          <t>Setup Instructions</t>
        </is>
      </c>
      <c r="G1" s="353" t="inlineStr">
        <is>
          <t>Protocol Docs</t>
        </is>
      </c>
      <c r="H1" s="354" t="inlineStr">
        <is>
          <t>Overall Doc Quality</t>
        </is>
      </c>
    </row>
    <row r="2">
      <c r="A2" s="119" t="inlineStr">
        <is>
          <t>Rob2011/ESP32.Modbus-TCP-gateway</t>
        </is>
      </c>
      <c r="B2" s="120" t="inlineStr">
        <is>
          <t>Good</t>
        </is>
      </c>
      <c r="C2" s="120" t="inlineStr">
        <is>
          <t>REST API examples</t>
        </is>
      </c>
      <c r="D2" s="390" t="inlineStr">
        <is>
          <t>Yes</t>
        </is>
      </c>
      <c r="E2" s="390" t="inlineStr">
        <is>
          <t>Yes</t>
        </is>
      </c>
      <c r="F2" s="390" t="inlineStr">
        <is>
          <t>Yes</t>
        </is>
      </c>
      <c r="G2" s="120" t="inlineStr">
        <is>
          <t>Device/profile notes</t>
        </is>
      </c>
      <c r="H2" s="121" t="inlineStr">
        <is>
          <t>Good</t>
        </is>
      </c>
    </row>
    <row r="3">
      <c r="A3" s="355" t="inlineStr">
        <is>
          <t>vwetter/esp32-modbus-gateway</t>
        </is>
      </c>
      <c r="B3" s="356" t="inlineStr">
        <is>
          <t>Excellent</t>
        </is>
      </c>
      <c r="C3" s="356" t="inlineStr">
        <is>
          <t>REST API docs</t>
        </is>
      </c>
      <c r="D3" s="394" t="inlineStr">
        <is>
          <t>Yes</t>
        </is>
      </c>
      <c r="E3" s="394" t="inlineStr">
        <is>
          <t>Yes</t>
        </is>
      </c>
      <c r="F3" s="394" t="inlineStr">
        <is>
          <t>Yes</t>
        </is>
      </c>
      <c r="G3" s="356" t="inlineStr">
        <is>
          <t>Gateway/API notes</t>
        </is>
      </c>
      <c r="H3" s="357" t="inlineStr">
        <is>
          <t>Excellent</t>
        </is>
      </c>
    </row>
    <row r="4">
      <c r="A4" s="122" t="inlineStr">
        <is>
          <t>zivillian/esp32-modbus-gateway</t>
        </is>
      </c>
      <c r="B4" s="65" t="inlineStr">
        <is>
          <t>Good</t>
        </is>
      </c>
      <c r="C4" s="65" t="inlineStr">
        <is>
          <t>No separate API docs</t>
        </is>
      </c>
      <c r="D4" s="394" t="inlineStr">
        <is>
          <t>Yes</t>
        </is>
      </c>
      <c r="E4" s="394" t="inlineStr">
        <is>
          <t>Yes</t>
        </is>
      </c>
      <c r="F4" s="65" t="inlineStr">
        <is>
          <t>Basic</t>
        </is>
      </c>
      <c r="G4" s="65" t="inlineStr">
        <is>
          <t>Limited</t>
        </is>
      </c>
      <c r="H4" s="123" t="inlineStr">
        <is>
          <t>Good</t>
        </is>
      </c>
    </row>
    <row r="5">
      <c r="A5" s="355" t="inlineStr">
        <is>
          <t>harihanv/esp32-modbus-gateway</t>
        </is>
      </c>
      <c r="B5" s="356" t="inlineStr">
        <is>
          <t>Fair</t>
        </is>
      </c>
      <c r="C5" s="393" t="inlineStr">
        <is>
          <t>No</t>
        </is>
      </c>
      <c r="D5" s="394" t="inlineStr">
        <is>
          <t>Yes</t>
        </is>
      </c>
      <c r="E5" s="394" t="inlineStr">
        <is>
          <t>Yes</t>
        </is>
      </c>
      <c r="F5" s="356" t="inlineStr">
        <is>
          <t>Basic</t>
        </is>
      </c>
      <c r="G5" s="356" t="inlineStr">
        <is>
          <t>Modbus links</t>
        </is>
      </c>
      <c r="H5" s="357" t="inlineStr">
        <is>
          <t>Fair</t>
        </is>
      </c>
    </row>
    <row r="6">
      <c r="A6" s="122" t="inlineStr">
        <is>
          <t>tobiasfaust/SolaxModbusGateway</t>
        </is>
      </c>
      <c r="B6" s="65" t="inlineStr">
        <is>
          <t>Good</t>
        </is>
      </c>
      <c r="C6" s="65" t="inlineStr">
        <is>
          <t>Wiki-oriented</t>
        </is>
      </c>
      <c r="D6" s="394" t="inlineStr">
        <is>
          <t>Yes</t>
        </is>
      </c>
      <c r="E6" s="65" t="inlineStr">
        <is>
          <t>Wiki link</t>
        </is>
      </c>
      <c r="F6" s="394" t="inlineStr">
        <is>
          <t>Yes</t>
        </is>
      </c>
      <c r="G6" s="65" t="inlineStr">
        <is>
          <t>Inverter register notes</t>
        </is>
      </c>
      <c r="H6" s="123" t="inlineStr">
        <is>
          <t>Good</t>
        </is>
      </c>
    </row>
    <row r="7">
      <c r="A7" s="355" t="inlineStr">
        <is>
          <t>rosenrot00/esphome_modbus_bridge</t>
        </is>
      </c>
      <c r="B7" s="356" t="inlineStr">
        <is>
          <t>Excellent</t>
        </is>
      </c>
      <c r="C7" s="356" t="inlineStr">
        <is>
          <t>YAML/API options</t>
        </is>
      </c>
      <c r="D7" s="394" t="inlineStr">
        <is>
          <t>Yes</t>
        </is>
      </c>
      <c r="E7" s="394" t="inlineStr">
        <is>
          <t>Yes</t>
        </is>
      </c>
      <c r="F7" s="394" t="inlineStr">
        <is>
          <t>Yes</t>
        </is>
      </c>
      <c r="G7" s="356" t="inlineStr">
        <is>
          <t>CRC/frame behavior</t>
        </is>
      </c>
      <c r="H7" s="357" t="inlineStr">
        <is>
          <t>Excellent</t>
        </is>
      </c>
    </row>
    <row r="8">
      <c r="A8" s="122" t="inlineStr">
        <is>
          <t>eModbus/eModbus</t>
        </is>
      </c>
      <c r="B8" s="65" t="inlineStr">
        <is>
          <t>Excellent</t>
        </is>
      </c>
      <c r="C8" s="65" t="inlineStr">
        <is>
          <t>External docs</t>
        </is>
      </c>
      <c r="D8" s="394" t="inlineStr">
        <is>
          <t>Yes</t>
        </is>
      </c>
      <c r="E8" s="65" t="inlineStr">
        <is>
          <t>No hardware diagram</t>
        </is>
      </c>
      <c r="F8" s="394" t="inlineStr">
        <is>
          <t>Yes</t>
        </is>
      </c>
      <c r="G8" s="65" t="inlineStr">
        <is>
          <t>Modbus spec links</t>
        </is>
      </c>
      <c r="H8" s="123" t="inlineStr">
        <is>
          <t>Excellent</t>
        </is>
      </c>
    </row>
    <row r="9">
      <c r="A9" s="355" t="inlineStr">
        <is>
          <t>NamNamIoT/ESP32</t>
        </is>
      </c>
      <c r="B9" s="356" t="inlineStr">
        <is>
          <t>Fair</t>
        </is>
      </c>
      <c r="C9" s="393" t="inlineStr">
        <is>
          <t>No</t>
        </is>
      </c>
      <c r="D9" s="394" t="inlineStr">
        <is>
          <t>Yes</t>
        </is>
      </c>
      <c r="E9" s="356" t="inlineStr">
        <is>
          <t>Board schematic</t>
        </is>
      </c>
      <c r="F9" s="356" t="inlineStr">
        <is>
          <t>Basic</t>
        </is>
      </c>
      <c r="G9" s="356" t="inlineStr">
        <is>
          <t>Example notes</t>
        </is>
      </c>
      <c r="H9" s="357" t="inlineStr">
        <is>
          <t>Fair</t>
        </is>
      </c>
    </row>
    <row r="10">
      <c r="A10" s="122" t="inlineStr">
        <is>
          <t>maxx-ukoo/esp32-modbus-tcp2rtu</t>
        </is>
      </c>
      <c r="B10" s="65" t="inlineStr">
        <is>
          <t>Fair</t>
        </is>
      </c>
      <c r="C10" s="393" t="inlineStr">
        <is>
          <t>No</t>
        </is>
      </c>
      <c r="D10" s="394" t="inlineStr">
        <is>
          <t>Yes</t>
        </is>
      </c>
      <c r="E10" s="393" t="inlineStr">
        <is>
          <t>No</t>
        </is>
      </c>
      <c r="F10" s="65" t="inlineStr">
        <is>
          <t>Basic</t>
        </is>
      </c>
      <c r="G10" s="65" t="inlineStr">
        <is>
          <t>Patch notes</t>
        </is>
      </c>
      <c r="H10" s="123" t="inlineStr">
        <is>
          <t>Fair</t>
        </is>
      </c>
    </row>
    <row r="11">
      <c r="A11" s="358" t="inlineStr">
        <is>
          <t>espressif/esp-modbus</t>
        </is>
      </c>
      <c r="B11" s="359" t="inlineStr">
        <is>
          <t>Excellent</t>
        </is>
      </c>
      <c r="C11" s="359" t="inlineStr">
        <is>
          <t>Official docs</t>
        </is>
      </c>
      <c r="D11" s="397" t="inlineStr">
        <is>
          <t>Yes</t>
        </is>
      </c>
      <c r="E11" s="359" t="inlineStr">
        <is>
          <t>Example READMEs</t>
        </is>
      </c>
      <c r="F11" s="397" t="inlineStr">
        <is>
          <t>Yes</t>
        </is>
      </c>
      <c r="G11" s="359" t="inlineStr">
        <is>
          <t>Official protocol/spec links</t>
        </is>
      </c>
      <c r="H11" s="360" t="inlineStr">
        <is>
          <t>Excellent</t>
        </is>
      </c>
    </row>
  </sheetData>
  <conditionalFormatting sqref="B2:H11">
    <cfRule type="expression" priority="1" dxfId="824">
      <formula>B2="Yes"</formula>
    </cfRule>
    <cfRule type="expression" priority="2" dxfId="824">
      <formula>B2="Y"</formula>
    </cfRule>
    <cfRule type="expression" priority="3" dxfId="824">
      <formula>B2="PASS"</formula>
    </cfRule>
    <cfRule type="expression" priority="4" dxfId="827">
      <formula>B2="No"</formula>
    </cfRule>
    <cfRule type="expression" priority="5" dxfId="828">
      <formula>B2="Partial"</formula>
    </cfRule>
    <cfRule type="expression" priority="6" dxfId="829">
      <formula>B2="No evidence"</formula>
    </cfRule>
    <cfRule type="expression" priority="7" dxfId="829">
      <formula>B2="Not run"</formula>
    </cfRule>
    <cfRule type="expression" priority="8" dxfId="829">
      <formula>B2="N/A"</formula>
    </cfRule>
    <cfRule type="expression" priority="9" dxfId="832">
      <formula>B2="Excellent"</formula>
    </cfRule>
    <cfRule type="expression" priority="10" dxfId="833">
      <formula>B2="Good"</formula>
    </cfRule>
    <cfRule type="expression" priority="11" dxfId="834">
      <formula>B2="Fair"</formula>
    </cfRule>
    <cfRule type="expression" priority="12" dxfId="827">
      <formula>B2="Low"</formula>
    </cfRule>
    <cfRule type="expression" priority="13" dxfId="827">
      <formula>B2="Hard"</formula>
    </cfRule>
    <cfRule type="expression" priority="14" dxfId="824">
      <formula>B2="Easy"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10" defaultColWidth="8.83203125" defaultRowHeight="15"/>
  <cols>
    <col width="32.52000045776367" customWidth="1" min="1" max="1"/>
    <col width="22.70000076293945" customWidth="1" min="3" max="3"/>
    <col width="17.18000030517578" customWidth="1" min="4" max="4"/>
    <col width="20.25" customWidth="1" min="5" max="5"/>
    <col width="20.86000061035156" customWidth="1" min="7" max="7"/>
    <col width="22.70000076293945" customWidth="1" min="8" max="8"/>
    <col width="15.94999980926514" customWidth="1" min="9" max="9"/>
  </cols>
  <sheetData>
    <row r="1" ht="25.5" customHeight="1">
      <c r="A1" s="352" t="inlineStr">
        <is>
          <t>Project</t>
        </is>
      </c>
      <c r="B1" s="353" t="inlineStr">
        <is>
          <t>RS485 Support</t>
        </is>
      </c>
      <c r="C1" s="353" t="inlineStr">
        <is>
          <t>UART Direction Control</t>
        </is>
      </c>
      <c r="D1" s="353" t="inlineStr">
        <is>
          <t>WiFi Reconnect</t>
        </is>
      </c>
      <c r="E1" s="353" t="inlineStr">
        <is>
          <t>Ethernet Failover</t>
        </is>
      </c>
      <c r="F1" s="353" t="inlineStr">
        <is>
          <t>OTA Updates</t>
        </is>
      </c>
      <c r="G1" s="353" t="inlineStr">
        <is>
          <t>Static IP Config</t>
        </is>
      </c>
      <c r="H1" s="353" t="inlineStr">
        <is>
          <t>Industrial Ready</t>
        </is>
      </c>
      <c r="I1" s="354" t="inlineStr">
        <is>
          <t>Deployment Ease</t>
        </is>
      </c>
    </row>
    <row r="2">
      <c r="A2" s="119" t="inlineStr">
        <is>
          <t>Rob2011/ESP32.Modbus-TCP-gateway</t>
        </is>
      </c>
      <c r="B2" s="390" t="inlineStr">
        <is>
          <t>Yes</t>
        </is>
      </c>
      <c r="C2" s="120" t="inlineStr">
        <is>
          <t>Partial / simple module wiring</t>
        </is>
      </c>
      <c r="D2" s="390" t="inlineStr">
        <is>
          <t>Yes</t>
        </is>
      </c>
      <c r="E2" s="391" t="inlineStr">
        <is>
          <t>No</t>
        </is>
      </c>
      <c r="F2" s="390" t="inlineStr">
        <is>
          <t>Yes</t>
        </is>
      </c>
      <c r="G2" s="390" t="inlineStr">
        <is>
          <t>Yes</t>
        </is>
      </c>
      <c r="H2" s="120" t="inlineStr">
        <is>
          <t>Medium</t>
        </is>
      </c>
      <c r="I2" s="121" t="inlineStr">
        <is>
          <t>Moderate</t>
        </is>
      </c>
    </row>
    <row r="3">
      <c r="A3" s="355" t="inlineStr">
        <is>
          <t>vwetter/esp32-modbus-gateway</t>
        </is>
      </c>
      <c r="B3" s="394" t="inlineStr">
        <is>
          <t>Yes</t>
        </is>
      </c>
      <c r="C3" s="356" t="inlineStr">
        <is>
          <t>Yes, DE/RE pin documented</t>
        </is>
      </c>
      <c r="D3" s="394" t="inlineStr">
        <is>
          <t>Yes</t>
        </is>
      </c>
      <c r="E3" s="393" t="inlineStr">
        <is>
          <t>No</t>
        </is>
      </c>
      <c r="F3" s="394" t="inlineStr">
        <is>
          <t>Yes</t>
        </is>
      </c>
      <c r="G3" s="356" t="inlineStr">
        <is>
          <t>Partial</t>
        </is>
      </c>
      <c r="H3" s="356" t="inlineStr">
        <is>
          <t>Medium</t>
        </is>
      </c>
      <c r="I3" s="357" t="inlineStr">
        <is>
          <t>Easy</t>
        </is>
      </c>
    </row>
    <row r="4">
      <c r="A4" s="122" t="inlineStr">
        <is>
          <t>zivillian/esp32-modbus-gateway</t>
        </is>
      </c>
      <c r="B4" s="394" t="inlineStr">
        <is>
          <t>Yes</t>
        </is>
      </c>
      <c r="C4" s="65" t="inlineStr">
        <is>
          <t>Automatic-flow RS485 documented</t>
        </is>
      </c>
      <c r="D4" s="65" t="inlineStr">
        <is>
          <t>Partial</t>
        </is>
      </c>
      <c r="E4" s="65" t="inlineStr">
        <is>
          <t>Partial</t>
        </is>
      </c>
      <c r="F4" s="65" t="inlineStr">
        <is>
          <t>No evidence</t>
        </is>
      </c>
      <c r="G4" s="394" t="inlineStr">
        <is>
          <t>Yes</t>
        </is>
      </c>
      <c r="H4" s="65" t="inlineStr">
        <is>
          <t>Medium</t>
        </is>
      </c>
      <c r="I4" s="123" t="inlineStr">
        <is>
          <t>Moderate</t>
        </is>
      </c>
    </row>
    <row r="5">
      <c r="A5" s="355" t="inlineStr">
        <is>
          <t>harihanv/esp32-modbus-gateway</t>
        </is>
      </c>
      <c r="B5" s="394" t="inlineStr">
        <is>
          <t>Yes</t>
        </is>
      </c>
      <c r="C5" s="356" t="inlineStr">
        <is>
          <t>Yes, DE/RE pin documented</t>
        </is>
      </c>
      <c r="D5" s="394" t="inlineStr">
        <is>
          <t>Yes</t>
        </is>
      </c>
      <c r="E5" s="393" t="inlineStr">
        <is>
          <t>No</t>
        </is>
      </c>
      <c r="F5" s="356" t="inlineStr">
        <is>
          <t>No evidence</t>
        </is>
      </c>
      <c r="G5" s="394" t="inlineStr">
        <is>
          <t>Yes</t>
        </is>
      </c>
      <c r="H5" s="356" t="inlineStr">
        <is>
          <t>Low</t>
        </is>
      </c>
      <c r="I5" s="357" t="inlineStr">
        <is>
          <t>Moderate</t>
        </is>
      </c>
    </row>
    <row r="6">
      <c r="A6" s="122" t="inlineStr">
        <is>
          <t>tobiasfaust/SolaxModbusGateway</t>
        </is>
      </c>
      <c r="B6" s="394" t="inlineStr">
        <is>
          <t>Yes</t>
        </is>
      </c>
      <c r="C6" s="65" t="inlineStr">
        <is>
          <t>Yes / MAX485 target</t>
        </is>
      </c>
      <c r="D6" s="394" t="inlineStr">
        <is>
          <t>Yes</t>
        </is>
      </c>
      <c r="E6" s="65" t="inlineStr">
        <is>
          <t>No evidence</t>
        </is>
      </c>
      <c r="F6" s="394" t="inlineStr">
        <is>
          <t>Yes</t>
        </is>
      </c>
      <c r="G6" s="65" t="inlineStr">
        <is>
          <t>Partial</t>
        </is>
      </c>
      <c r="H6" s="65" t="inlineStr">
        <is>
          <t>Medium</t>
        </is>
      </c>
      <c r="I6" s="123" t="inlineStr">
        <is>
          <t>Easy via web installer</t>
        </is>
      </c>
    </row>
    <row r="7">
      <c r="A7" s="355" t="inlineStr">
        <is>
          <t>rosenrot00/esphome_modbus_bridge</t>
        </is>
      </c>
      <c r="B7" s="394" t="inlineStr">
        <is>
          <t>Yes</t>
        </is>
      </c>
      <c r="C7" s="356" t="inlineStr">
        <is>
          <t>Yes, separate/shared DE/RE</t>
        </is>
      </c>
      <c r="D7" s="394" t="inlineStr">
        <is>
          <t>Yes</t>
        </is>
      </c>
      <c r="E7" s="356" t="inlineStr">
        <is>
          <t>ESPHome-dependent</t>
        </is>
      </c>
      <c r="F7" s="394" t="inlineStr">
        <is>
          <t>Yes</t>
        </is>
      </c>
      <c r="G7" s="356" t="inlineStr">
        <is>
          <t>Yes via ESPHome</t>
        </is>
      </c>
      <c r="H7" s="356" t="inlineStr">
        <is>
          <t>High for ESPHome deployments</t>
        </is>
      </c>
      <c r="I7" s="357" t="inlineStr">
        <is>
          <t>Easy</t>
        </is>
      </c>
    </row>
    <row r="8">
      <c r="A8" s="122" t="inlineStr">
        <is>
          <t>eModbus/eModbus</t>
        </is>
      </c>
      <c r="B8" s="394" t="inlineStr">
        <is>
          <t>Yes</t>
        </is>
      </c>
      <c r="C8" s="65" t="inlineStr">
        <is>
          <t>Yes, library API</t>
        </is>
      </c>
      <c r="D8" s="65" t="inlineStr">
        <is>
          <t>Application responsibility</t>
        </is>
      </c>
      <c r="E8" s="65" t="inlineStr">
        <is>
          <t>Application responsibility</t>
        </is>
      </c>
      <c r="F8" s="393" t="inlineStr">
        <is>
          <t>No</t>
        </is>
      </c>
      <c r="G8" s="65" t="inlineStr">
        <is>
          <t>Application responsibility</t>
        </is>
      </c>
      <c r="H8" s="65" t="inlineStr">
        <is>
          <t>High as library</t>
        </is>
      </c>
      <c r="I8" s="123" t="inlineStr">
        <is>
          <t>Moderate</t>
        </is>
      </c>
    </row>
    <row r="9">
      <c r="A9" s="355" t="inlineStr">
        <is>
          <t>NamNamIoT/ESP32</t>
        </is>
      </c>
      <c r="B9" s="394" t="inlineStr">
        <is>
          <t>Yes</t>
        </is>
      </c>
      <c r="C9" s="356" t="inlineStr">
        <is>
          <t>Auto DERE on target board</t>
        </is>
      </c>
      <c r="D9" s="356" t="inlineStr">
        <is>
          <t>Partial</t>
        </is>
      </c>
      <c r="E9" s="356" t="inlineStr">
        <is>
          <t>Yes, auto switch example</t>
        </is>
      </c>
      <c r="F9" s="394" t="inlineStr">
        <is>
          <t>Yes</t>
        </is>
      </c>
      <c r="G9" s="394" t="inlineStr">
        <is>
          <t>Yes</t>
        </is>
      </c>
      <c r="H9" s="356" t="inlineStr">
        <is>
          <t>Medium</t>
        </is>
      </c>
      <c r="I9" s="357" t="inlineStr">
        <is>
          <t>Moderate</t>
        </is>
      </c>
    </row>
    <row r="10">
      <c r="A10" s="122" t="inlineStr">
        <is>
          <t>maxx-ukoo/esp32-modbus-tcp2rtu</t>
        </is>
      </c>
      <c r="B10" s="394" t="inlineStr">
        <is>
          <t>Yes</t>
        </is>
      </c>
      <c r="C10" s="65" t="inlineStr">
        <is>
          <t>ESP-IDF RS485/freemodbus</t>
        </is>
      </c>
      <c r="D10" s="393" t="inlineStr">
        <is>
          <t>No</t>
        </is>
      </c>
      <c r="E10" s="65" t="inlineStr">
        <is>
          <t>Ethernet reconnect only</t>
        </is>
      </c>
      <c r="F10" s="394" t="inlineStr">
        <is>
          <t>Yes</t>
        </is>
      </c>
      <c r="G10" s="394" t="inlineStr">
        <is>
          <t>Yes</t>
        </is>
      </c>
      <c r="H10" s="65" t="inlineStr">
        <is>
          <t>Low; stale and patch required</t>
        </is>
      </c>
      <c r="I10" s="123" t="inlineStr">
        <is>
          <t>Hard</t>
        </is>
      </c>
    </row>
    <row r="11">
      <c r="A11" s="358" t="inlineStr">
        <is>
          <t>espressif/esp-modbus</t>
        </is>
      </c>
      <c r="B11" s="397" t="inlineStr">
        <is>
          <t>Yes</t>
        </is>
      </c>
      <c r="C11" s="359" t="inlineStr">
        <is>
          <t>Yes, ESP-IDF UART/RS485</t>
        </is>
      </c>
      <c r="D11" s="397" t="inlineStr">
        <is>
          <t>Yes</t>
        </is>
      </c>
      <c r="E11" s="359" t="inlineStr">
        <is>
          <t>Partial / selectable network</t>
        </is>
      </c>
      <c r="F11" s="359" t="inlineStr">
        <is>
          <t>No library-level OTA</t>
        </is>
      </c>
      <c r="G11" s="397" t="inlineStr">
        <is>
          <t>Yes</t>
        </is>
      </c>
      <c r="H11" s="359" t="inlineStr">
        <is>
          <t>High</t>
        </is>
      </c>
      <c r="I11" s="360" t="inlineStr">
        <is>
          <t>Moderate</t>
        </is>
      </c>
    </row>
  </sheetData>
  <conditionalFormatting sqref="B2:I11">
    <cfRule type="expression" priority="1" dxfId="824">
      <formula>B2="Yes"</formula>
    </cfRule>
    <cfRule type="expression" priority="2" dxfId="824">
      <formula>B2="Y"</formula>
    </cfRule>
    <cfRule type="expression" priority="3" dxfId="824">
      <formula>B2="PASS"</formula>
    </cfRule>
    <cfRule type="expression" priority="4" dxfId="827">
      <formula>B2="No"</formula>
    </cfRule>
    <cfRule type="expression" priority="5" dxfId="828">
      <formula>B2="Partial"</formula>
    </cfRule>
    <cfRule type="expression" priority="6" dxfId="829">
      <formula>B2="No evidence"</formula>
    </cfRule>
    <cfRule type="expression" priority="7" dxfId="829">
      <formula>B2="Not run"</formula>
    </cfRule>
    <cfRule type="expression" priority="8" dxfId="829">
      <formula>B2="N/A"</formula>
    </cfRule>
    <cfRule type="expression" priority="9" dxfId="832">
      <formula>B2="Excellent"</formula>
    </cfRule>
    <cfRule type="expression" priority="10" dxfId="833">
      <formula>B2="Good"</formula>
    </cfRule>
    <cfRule type="expression" priority="11" dxfId="834">
      <formula>B2="Fair"</formula>
    </cfRule>
    <cfRule type="expression" priority="12" dxfId="827">
      <formula>B2="Low"</formula>
    </cfRule>
    <cfRule type="expression" priority="13" dxfId="827">
      <formula>B2="Hard"</formula>
    </cfRule>
    <cfRule type="expression" priority="14" dxfId="824">
      <formula>B2="Easy"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10" defaultColWidth="8.83203125" defaultRowHeight="15"/>
  <cols>
    <col width="32.52000045776367" customWidth="1" min="1" max="1"/>
    <col width="13.5" customWidth="1" min="2" max="2"/>
    <col width="7.980000019073486" customWidth="1" min="3" max="3"/>
    <col width="25.14999961853027" customWidth="1" min="4" max="4"/>
    <col width="63.18999862670898" customWidth="1" min="5" max="5"/>
  </cols>
  <sheetData>
    <row r="1" ht="25.5" customHeight="1">
      <c r="A1" s="352" t="inlineStr">
        <is>
          <t>Project</t>
        </is>
      </c>
      <c r="B1" s="353" t="inlineStr">
        <is>
          <t>Overall Score (0-100)</t>
        </is>
      </c>
      <c r="C1" s="353" t="inlineStr">
        <is>
          <t>Rank</t>
        </is>
      </c>
      <c r="D1" s="353" t="inlineStr">
        <is>
          <t>Recommendation</t>
        </is>
      </c>
      <c r="E1" s="354" t="inlineStr">
        <is>
          <t>Notes</t>
        </is>
      </c>
    </row>
    <row r="2" ht="36" customHeight="1">
      <c r="A2" s="119" t="inlineStr">
        <is>
          <t>Rob2011/ESP32.Modbus-TCP-gateway</t>
        </is>
      </c>
      <c r="B2" s="406" t="n">
        <v>70</v>
      </c>
      <c r="C2" s="120" t="n">
        <v>7</v>
      </c>
      <c r="D2" s="120" t="inlineStr">
        <is>
          <t>Usable gateway reference</t>
        </is>
      </c>
      <c r="E2" s="121" t="inlineStr">
        <is>
          <t>Feature-rich Arduino gateway with REST/API and OTA, but small community and some ESP32-specific production details need review.</t>
        </is>
      </c>
    </row>
    <row r="3" ht="36" customHeight="1">
      <c r="A3" s="355" t="inlineStr">
        <is>
          <t>vwetter/esp32-modbus-gateway</t>
        </is>
      </c>
      <c r="B3" s="407" t="n">
        <v>76</v>
      </c>
      <c r="C3" s="356" t="n">
        <v>5</v>
      </c>
      <c r="D3" s="356" t="inlineStr">
        <is>
          <t>Good Arduino gateway candidate</t>
        </is>
      </c>
      <c r="E3" s="357" t="inlineStr">
        <is>
          <t>Strong docs, WiFi Manager, OTA, RS485 wiring, and active 2026 maintenance; Arduino-only scope.</t>
        </is>
      </c>
    </row>
    <row r="4" ht="36" customHeight="1">
      <c r="A4" s="122" t="inlineStr">
        <is>
          <t>zivillian/esp32-modbus-gateway</t>
        </is>
      </c>
      <c r="B4" s="408" t="n">
        <v>74</v>
      </c>
      <c r="C4" s="65" t="n">
        <v>6</v>
      </c>
      <c r="D4" s="65" t="inlineStr">
        <is>
          <t>Good PlatformIO reference</t>
        </is>
      </c>
      <c r="E4" s="123" t="inlineStr">
        <is>
          <t>Popular PIO gateway with eModbus dependency and configurable builds; activity is older than top candidates.</t>
        </is>
      </c>
    </row>
    <row r="5" ht="36" customHeight="1">
      <c r="A5" s="355" t="inlineStr">
        <is>
          <t>harihanv/esp32-modbus-gateway</t>
        </is>
      </c>
      <c r="B5" s="407" t="n">
        <v>58</v>
      </c>
      <c r="C5" s="356" t="n">
        <v>9</v>
      </c>
      <c r="D5" s="356" t="inlineStr">
        <is>
          <t>Educational/reference only</t>
        </is>
      </c>
      <c r="E5" s="357" t="inlineStr">
        <is>
          <t>Clear gateway concept and web UI, but stale one-commit project and less suitable for production.</t>
        </is>
      </c>
    </row>
    <row r="6" ht="36" customHeight="1">
      <c r="A6" s="122" t="inlineStr">
        <is>
          <t>tobiasfaust/SolaxModbusGateway</t>
        </is>
      </c>
      <c r="B6" s="408" t="n">
        <v>78</v>
      </c>
      <c r="C6" s="65" t="n">
        <v>4</v>
      </c>
      <c r="D6" s="65" t="inlineStr">
        <is>
          <t>Good app-specific gateway</t>
        </is>
      </c>
      <c r="E6" s="123" t="inlineStr">
        <is>
          <t>Active, multi-target PlatformIO project for solar inverter/MQTT use; less general-purpose Modbus TCP/RTU gateway.</t>
        </is>
      </c>
    </row>
    <row r="7" ht="36" customHeight="1">
      <c r="A7" s="355" t="inlineStr">
        <is>
          <t>rosenrot00/esphome_modbus_bridge</t>
        </is>
      </c>
      <c r="B7" s="407" t="n">
        <v>82</v>
      </c>
      <c r="C7" s="356" t="n">
        <v>3</v>
      </c>
      <c r="D7" s="356" t="inlineStr">
        <is>
          <t>Best ESPHome bridge option</t>
        </is>
      </c>
      <c r="E7" s="357" t="inlineStr">
        <is>
          <t>Focused TCP-to-RTU bridge with excellent README, CRC validation, multi-client support, and ESPHome deployment ergonomics.</t>
        </is>
      </c>
    </row>
    <row r="8" ht="36" customHeight="1">
      <c r="A8" s="122" t="inlineStr">
        <is>
          <t>eModbus/eModbus</t>
        </is>
      </c>
      <c r="B8" s="408" t="n">
        <v>90</v>
      </c>
      <c r="C8" s="65" t="n">
        <v>2</v>
      </c>
      <c r="D8" s="65" t="inlineStr">
        <is>
          <t>Best Arduino library option</t>
        </is>
      </c>
      <c r="E8" s="123" t="inlineStr">
        <is>
          <t>Mature, popular, actively maintained Modbus client/server/bridge library covering RTU, TCP, and ASCII with async tasks.</t>
        </is>
      </c>
    </row>
    <row r="9" ht="36" customHeight="1">
      <c r="A9" s="355" t="inlineStr">
        <is>
          <t>NamNamIoT/ESP32</t>
        </is>
      </c>
      <c r="B9" s="407" t="n">
        <v>66</v>
      </c>
      <c r="C9" s="356" t="n">
        <v>8</v>
      </c>
      <c r="D9" s="356" t="inlineStr">
        <is>
          <t>Useful board/example reference</t>
        </is>
      </c>
      <c r="E9" s="357" t="inlineStr">
        <is>
          <t>Good examples for NamNam ESP32 hardware with Ethernet/RS485, but not a standalone general gateway library.</t>
        </is>
      </c>
    </row>
    <row r="10" ht="36" customHeight="1">
      <c r="A10" s="122" t="inlineStr">
        <is>
          <t>maxx-ukoo/esp32-modbus-tcp2rtu</t>
        </is>
      </c>
      <c r="B10" s="408" t="n">
        <v>50</v>
      </c>
      <c r="C10" s="65" t="n">
        <v>10</v>
      </c>
      <c r="D10" s="65" t="inlineStr">
        <is>
          <t>Not recommended for new work</t>
        </is>
      </c>
      <c r="E10" s="123" t="inlineStr">
        <is>
          <t>ESP-IDF TCP-to-RTU project is stale, low activity, Ethernet-only, and requires an ESP-IDF patch.</t>
        </is>
      </c>
    </row>
    <row r="11" ht="36" customHeight="1">
      <c r="A11" s="358" t="inlineStr">
        <is>
          <t>espressif/esp-modbus</t>
        </is>
      </c>
      <c r="B11" s="409" t="n">
        <v>92</v>
      </c>
      <c r="C11" s="359" t="n">
        <v>1</v>
      </c>
      <c r="D11" s="359" t="inlineStr">
        <is>
          <t>Best ESP-IDF/production option</t>
        </is>
      </c>
      <c r="E11" s="360" t="inlineStr">
        <is>
          <t>Official Espressif component with current maintenance, docs, examples, tests, ESP-IDF integration, and broad protocol support.</t>
        </is>
      </c>
    </row>
  </sheetData>
  <conditionalFormatting sqref="B2:B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10" defaultColWidth="8.83203125" defaultRowHeight="15"/>
  <cols>
    <col width="75.45999908447266" customWidth="1" min="1" max="1"/>
  </cols>
  <sheetData>
    <row r="1" ht="25.5" customHeight="1">
      <c r="A1" s="368" t="inlineStr">
        <is>
          <t>EVALUATION TEMPLATE INSTRUCTIONS</t>
        </is>
      </c>
    </row>
    <row r="2">
      <c r="A2" s="181" t="n"/>
    </row>
    <row r="3" ht="16" customHeight="1">
      <c r="A3" s="369" t="inlineStr">
        <is>
          <t>This template is designed to record research findings for 10 ESP32 Modbus gateway projects.</t>
        </is>
      </c>
    </row>
    <row r="4">
      <c r="A4" s="182" t="n"/>
    </row>
    <row r="5" ht="16" customHeight="1">
      <c r="A5" s="369" t="inlineStr">
        <is>
          <t>SHEETS:</t>
        </is>
      </c>
    </row>
    <row r="6" ht="16" customHeight="1">
      <c r="A6" s="182" t="inlineStr">
        <is>
          <t>1. Comparison Matrix - High-level overview of all projects</t>
        </is>
      </c>
    </row>
    <row r="7" ht="16" customHeight="1">
      <c r="A7" s="369" t="inlineStr">
        <is>
          <t>2. Repository Metrics - GitHub stats (stars, forks, commit history, contributors)</t>
        </is>
      </c>
    </row>
    <row r="8" ht="16" customHeight="1">
      <c r="A8" s="182" t="inlineStr">
        <is>
          <t>3. Protocol Features - Modbus protocol support details</t>
        </is>
      </c>
    </row>
    <row r="9" ht="16" customHeight="1">
      <c r="A9" s="369" t="inlineStr">
        <is>
          <t>4. Architecture - Software design and reliability features</t>
        </is>
      </c>
    </row>
    <row r="10" ht="16" customHeight="1">
      <c r="A10" s="182" t="inlineStr">
        <is>
          <t>5. Dependencies - External library and dependency analysis</t>
        </is>
      </c>
    </row>
    <row r="11" ht="16" customHeight="1">
      <c r="A11" s="369" t="inlineStr">
        <is>
          <t>6. Build &amp; Tools - Build system and CI/CD setup</t>
        </is>
      </c>
    </row>
    <row r="12" ht="16" customHeight="1">
      <c r="A12" s="182" t="inlineStr">
        <is>
          <t>7. Documentation - Documentation quality assessment</t>
        </is>
      </c>
    </row>
    <row r="13" ht="16" customHeight="1">
      <c r="A13" s="369" t="inlineStr">
        <is>
          <t>8. Deployment - Practical deployment features and readiness</t>
        </is>
      </c>
    </row>
    <row r="14" ht="16" customHeight="1">
      <c r="A14" s="182" t="inlineStr">
        <is>
          <t>9. Summary &amp; Score - Final scoring and recommendations</t>
        </is>
      </c>
    </row>
    <row r="15">
      <c r="A15" s="369" t="n"/>
    </row>
    <row r="16" ht="16" customHeight="1">
      <c r="A16" s="182" t="inlineStr">
        <is>
          <t>HOW TO USE:</t>
        </is>
      </c>
    </row>
    <row r="17" ht="16" customHeight="1">
      <c r="A17" s="369" t="inlineStr">
        <is>
          <t>1. Fill in data for each project systematically</t>
        </is>
      </c>
    </row>
    <row r="18" ht="16" customHeight="1">
      <c r="A18" s="182" t="inlineStr">
        <is>
          <t>2. Use Yes/No, numbers, or descriptive text as appropriate</t>
        </is>
      </c>
    </row>
    <row r="19" ht="16" customHeight="1">
      <c r="A19" s="369" t="inlineStr">
        <is>
          <t>3. For scores use 0-100 scale (0=missing, 100=excellent)</t>
        </is>
      </c>
    </row>
    <row r="20" ht="16" customHeight="1">
      <c r="A20" s="182" t="inlineStr">
        <is>
          <t>4. Add notes and observations in the appropriate cells</t>
        </is>
      </c>
    </row>
    <row r="21" ht="16" customHeight="1">
      <c r="A21" s="369" t="inlineStr">
        <is>
          <t>5. Use Summary &amp; Score sheet to rank and recommend top candidates</t>
        </is>
      </c>
    </row>
    <row r="22">
      <c r="A22" s="182" t="n"/>
    </row>
    <row r="23" ht="16" customHeight="1">
      <c r="A23" s="369" t="inlineStr">
        <is>
          <t>NOTES:</t>
        </is>
      </c>
    </row>
    <row r="24" ht="16" customHeight="1">
      <c r="A24" s="182" t="inlineStr">
        <is>
          <t>- All cells are ready for data entry</t>
        </is>
      </c>
    </row>
    <row r="25" ht="16" customHeight="1">
      <c r="A25" s="369" t="inlineStr">
        <is>
          <t>- Freeze panes are set on all data sheets for easy scrolling</t>
        </is>
      </c>
    </row>
    <row r="26" ht="16" customHeight="1">
      <c r="A26" s="182" t="inlineStr">
        <is>
          <t>- Use consistent formatting for easier comparison</t>
        </is>
      </c>
    </row>
    <row r="27" ht="16" customHeight="1">
      <c r="A27" s="370" t="inlineStr">
        <is>
          <t>- Consider using color coding (green=strong, yellow=neutral, red=weak)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0" customWidth="1" min="3" max="3"/>
    <col width="38" customWidth="1" min="4" max="4"/>
    <col width="12" customWidth="1" min="5" max="5"/>
    <col width="14" customWidth="1" min="6" max="6"/>
    <col width="14" customWidth="1" min="7" max="7"/>
    <col width="9" customWidth="1" min="8" max="8"/>
    <col width="12" customWidth="1" min="9" max="9"/>
    <col width="12" customWidth="1" min="10" max="10"/>
    <col width="9" customWidth="1" min="11" max="11"/>
    <col width="13" customWidth="1" min="12" max="12"/>
    <col width="14" customWidth="1" min="13" max="13"/>
    <col width="60" customWidth="1" min="14" max="14"/>
  </cols>
  <sheetData>
    <row r="1">
      <c r="A1" s="429" t="inlineStr">
        <is>
          <t>PIO Env</t>
        </is>
      </c>
      <c r="B1" s="429" t="inlineStr">
        <is>
          <t>Candidate</t>
        </is>
      </c>
      <c r="C1" s="429" t="inlineStr">
        <is>
          <t>Framework</t>
        </is>
      </c>
      <c r="D1" s="429" t="inlineStr">
        <is>
          <t>Library exercised</t>
        </is>
      </c>
      <c r="E1" s="429" t="inlineStr">
        <is>
          <t>Build Status</t>
        </is>
      </c>
      <c r="F1" s="429" t="inlineStr">
        <is>
          <t>Flash used (B)</t>
        </is>
      </c>
      <c r="G1" s="429" t="inlineStr">
        <is>
          <t>Flash total (B)</t>
        </is>
      </c>
      <c r="H1" s="429" t="inlineStr">
        <is>
          <t>Flash %</t>
        </is>
      </c>
      <c r="I1" s="429" t="inlineStr">
        <is>
          <t>RAM used (B)</t>
        </is>
      </c>
      <c r="J1" s="429" t="inlineStr">
        <is>
          <t>RAM total (B)</t>
        </is>
      </c>
      <c r="K1" s="429" t="inlineStr">
        <is>
          <t>RAM %</t>
        </is>
      </c>
      <c r="L1" s="429" t="inlineStr">
        <is>
          <t>Build time (s)</t>
        </is>
      </c>
      <c r="M1" s="429" t="inlineStr">
        <is>
          <t>Runtime test*</t>
        </is>
      </c>
      <c r="N1" s="429" t="inlineStr">
        <is>
          <t>Notes</t>
        </is>
      </c>
    </row>
    <row r="2">
      <c r="A2" t="inlineStr">
        <is>
          <t>esp32-c6-fixture</t>
        </is>
      </c>
      <c r="B2" t="inlineStr">
        <is>
          <t>C6 mock slave</t>
        </is>
      </c>
      <c r="C2" t="inlineStr">
        <is>
          <t>arduino</t>
        </is>
      </c>
      <c r="D2" t="inlineStr">
        <is>
          <t>raw RTU slave (fixture)</t>
        </is>
      </c>
      <c r="E2" s="430" t="inlineStr">
        <is>
          <t>SUCCESS</t>
        </is>
      </c>
      <c r="F2" t="n">
        <v>252882</v>
      </c>
      <c r="G2" t="n">
        <v>1310720</v>
      </c>
      <c r="H2" t="inlineStr">
        <is>
          <t>19.3%</t>
        </is>
      </c>
      <c r="I2" t="n">
        <v>13852</v>
      </c>
      <c r="J2" t="n">
        <v>327680</v>
      </c>
      <c r="K2" t="inlineStr">
        <is>
          <t>4.2%</t>
        </is>
      </c>
      <c r="L2" t="n">
        <v>8</v>
      </c>
      <c r="M2" t="inlineStr">
        <is>
          <t>manual</t>
        </is>
      </c>
      <c r="N2" t="inlineStr">
        <is>
          <t>C6 baseline; flashed once</t>
        </is>
      </c>
    </row>
    <row r="3">
      <c r="A3" t="inlineStr">
        <is>
          <t>dut_rob2011_arduino_s3</t>
        </is>
      </c>
      <c r="B3" t="inlineStr">
        <is>
          <t>Rob2011/ESP32.Modbus-TCP-gateway</t>
        </is>
      </c>
      <c r="C3" t="inlineStr">
        <is>
          <t>arduino</t>
        </is>
      </c>
      <c r="D3" t="inlineStr">
        <is>
          <t>emelianov/modbus-esp8266 ModbusRTU</t>
        </is>
      </c>
      <c r="E3" s="430" t="inlineStr">
        <is>
          <t>SUCCESS</t>
        </is>
      </c>
      <c r="F3" t="n">
        <v>310437</v>
      </c>
      <c r="G3" t="n">
        <v>3145728</v>
      </c>
      <c r="H3" t="inlineStr">
        <is>
          <t>9.9%</t>
        </is>
      </c>
      <c r="I3" t="n">
        <v>22156</v>
      </c>
      <c r="J3" t="n">
        <v>327680</v>
      </c>
      <c r="K3" t="inlineStr">
        <is>
          <t>6.8%</t>
        </is>
      </c>
      <c r="L3" t="n">
        <v>9</v>
      </c>
      <c r="M3" t="inlineStr">
        <is>
          <t>PASS 20/20 (2026-05-14)</t>
        </is>
      </c>
    </row>
    <row r="4">
      <c r="A4" t="inlineStr">
        <is>
          <t>dut_vwetter_arduino_s3</t>
        </is>
      </c>
      <c r="B4" t="inlineStr">
        <is>
          <t>vwetter/esp32-modbus-gateway</t>
        </is>
      </c>
      <c r="C4" t="inlineStr">
        <is>
          <t>arduino</t>
        </is>
      </c>
      <c r="D4" t="inlineStr">
        <is>
          <t>raw HardwareSerial</t>
        </is>
      </c>
      <c r="E4" s="430" t="inlineStr">
        <is>
          <t>SUCCESS</t>
        </is>
      </c>
      <c r="F4" t="n">
        <v>300501</v>
      </c>
      <c r="G4" t="n">
        <v>3145728</v>
      </c>
      <c r="H4" t="inlineStr">
        <is>
          <t>9.6%</t>
        </is>
      </c>
      <c r="I4" t="n">
        <v>21996</v>
      </c>
      <c r="J4" t="n">
        <v>327680</v>
      </c>
      <c r="K4" t="inlineStr">
        <is>
          <t>6.7%</t>
        </is>
      </c>
      <c r="L4" t="n">
        <v>8</v>
      </c>
      <c r="M4" t="inlineStr">
        <is>
          <t>PASS 20/20 (2026-05-14)</t>
        </is>
      </c>
      <c r="N4" t="inlineStr">
        <is>
          <t>no Modbus lib in upstream</t>
        </is>
      </c>
    </row>
    <row r="5">
      <c r="A5" t="inlineStr">
        <is>
          <t>dut_zivillian_arduino_s3</t>
        </is>
      </c>
      <c r="B5" t="inlineStr">
        <is>
          <t>zivillian/esp32-modbus-gateway</t>
        </is>
      </c>
      <c r="C5" t="inlineStr">
        <is>
          <t>arduino</t>
        </is>
      </c>
      <c r="D5" t="inlineStr">
        <is>
          <t>eModbus ModbusClientRTU</t>
        </is>
      </c>
      <c r="E5" s="430" t="inlineStr">
        <is>
          <t>SUCCESS</t>
        </is>
      </c>
      <c r="F5" t="n">
        <v>384105</v>
      </c>
      <c r="G5" t="n">
        <v>3145728</v>
      </c>
      <c r="H5" t="inlineStr">
        <is>
          <t>12.2%</t>
        </is>
      </c>
      <c r="I5" t="n">
        <v>22932</v>
      </c>
      <c r="J5" t="n">
        <v>327680</v>
      </c>
      <c r="K5" t="inlineStr">
        <is>
          <t>7.0%</t>
        </is>
      </c>
      <c r="L5" t="n">
        <v>14</v>
      </c>
      <c r="M5" t="inlineStr">
        <is>
          <t>PASS 20/20 (2026-05-14)</t>
        </is>
      </c>
      <c r="N5" t="inlineStr">
        <is>
          <t>upstream PIO project fails on Arduino core 3 (HTTP_GET clash); we exercise eModbus directly</t>
        </is>
      </c>
    </row>
    <row r="6">
      <c r="A6" t="inlineStr">
        <is>
          <t>dut_harihanv_arduino_s3</t>
        </is>
      </c>
      <c r="B6" t="inlineStr">
        <is>
          <t>harihanv/esp32-modbus-gateway</t>
        </is>
      </c>
      <c r="C6" t="inlineStr">
        <is>
          <t>arduino</t>
        </is>
      </c>
      <c r="D6" t="inlineStr">
        <is>
          <t>raw HardwareSerial</t>
        </is>
      </c>
      <c r="E6" s="430" t="inlineStr">
        <is>
          <t>SUCCESS</t>
        </is>
      </c>
      <c r="F6" t="n">
        <v>300213</v>
      </c>
      <c r="G6" t="n">
        <v>3145728</v>
      </c>
      <c r="H6" t="inlineStr">
        <is>
          <t>9.5%</t>
        </is>
      </c>
      <c r="I6" t="n">
        <v>21996</v>
      </c>
      <c r="J6" t="n">
        <v>327680</v>
      </c>
      <c r="K6" t="inlineStr">
        <is>
          <t>6.7%</t>
        </is>
      </c>
      <c r="L6" t="n">
        <v>8</v>
      </c>
      <c r="M6" t="inlineStr">
        <is>
          <t>PASS 24/24 (2026-05-14)</t>
        </is>
      </c>
      <c r="N6" t="inlineStr">
        <is>
          <t>ArduinoRS485 not usable on ESP32; raw fallback</t>
        </is>
      </c>
    </row>
    <row r="7">
      <c r="A7" t="inlineStr">
        <is>
          <t>dut_tobiasfaust_arduino_s3</t>
        </is>
      </c>
      <c r="B7" t="inlineStr">
        <is>
          <t>tobiasfaust/SolaxModbusGateway</t>
        </is>
      </c>
      <c r="C7" t="inlineStr">
        <is>
          <t>arduino</t>
        </is>
      </c>
      <c r="D7" t="inlineStr">
        <is>
          <t>raw HardwareSerial</t>
        </is>
      </c>
      <c r="E7" s="430" t="inlineStr">
        <is>
          <t>SUCCESS</t>
        </is>
      </c>
      <c r="F7" t="n">
        <v>300157</v>
      </c>
      <c r="G7" t="n">
        <v>3145728</v>
      </c>
      <c r="H7" t="inlineStr">
        <is>
          <t>9.5%</t>
        </is>
      </c>
      <c r="I7" t="n">
        <v>21996</v>
      </c>
      <c r="J7" t="n">
        <v>327680</v>
      </c>
      <c r="K7" t="inlineStr">
        <is>
          <t>6.7%</t>
        </is>
      </c>
      <c r="L7" t="n">
        <v>8</v>
      </c>
      <c r="M7" t="inlineStr">
        <is>
          <t>PASS 20/20 (2026-05-14)</t>
        </is>
      </c>
      <c r="N7" t="inlineStr">
        <is>
          <t>Solax gateway lib not reusable; raw mirror</t>
        </is>
      </c>
    </row>
    <row r="8">
      <c r="A8" t="inlineStr">
        <is>
          <t>dut_emodbus_arduino_s3</t>
        </is>
      </c>
      <c r="B8" t="inlineStr">
        <is>
          <t>eModbus/eModbus</t>
        </is>
      </c>
      <c r="C8" t="inlineStr">
        <is>
          <t>arduino</t>
        </is>
      </c>
      <c r="D8" t="inlineStr">
        <is>
          <t>eModbus ModbusClientRTU (direct)</t>
        </is>
      </c>
      <c r="E8" s="430" t="inlineStr">
        <is>
          <t>SUCCESS</t>
        </is>
      </c>
      <c r="F8" t="n">
        <v>384033</v>
      </c>
      <c r="G8" t="n">
        <v>3145728</v>
      </c>
      <c r="H8" t="inlineStr">
        <is>
          <t>12.2%</t>
        </is>
      </c>
      <c r="I8" t="n">
        <v>22940</v>
      </c>
      <c r="J8" t="n">
        <v>327680</v>
      </c>
      <c r="K8" t="inlineStr">
        <is>
          <t>7.0%</t>
        </is>
      </c>
      <c r="L8" t="n">
        <v>12</v>
      </c>
      <c r="M8" t="inlineStr">
        <is>
          <t>PASS 20/20 (2026-05-14)</t>
        </is>
      </c>
    </row>
    <row r="9">
      <c r="A9" t="inlineStr">
        <is>
          <t>dut_namnam_iot_arduino_s3</t>
        </is>
      </c>
      <c r="B9" t="inlineStr">
        <is>
          <t>NamNamIoT/ESP32</t>
        </is>
      </c>
      <c r="C9" t="inlineStr">
        <is>
          <t>arduino</t>
        </is>
      </c>
      <c r="D9" t="inlineStr">
        <is>
          <t>4-20ma/ModbusMaster</t>
        </is>
      </c>
      <c r="E9" s="430" t="inlineStr">
        <is>
          <t>SUCCESS</t>
        </is>
      </c>
      <c r="F9" t="n">
        <v>301573</v>
      </c>
      <c r="G9" t="n">
        <v>3145728</v>
      </c>
      <c r="H9" t="inlineStr">
        <is>
          <t>9.6%</t>
        </is>
      </c>
      <c r="I9" t="n">
        <v>22292</v>
      </c>
      <c r="J9" t="n">
        <v>327680</v>
      </c>
      <c r="K9" t="inlineStr">
        <is>
          <t>6.8%</t>
        </is>
      </c>
      <c r="L9" t="n">
        <v>8</v>
      </c>
      <c r="M9" t="inlineStr">
        <is>
          <t>PASS 20/20 (2026-05-14)</t>
        </is>
      </c>
      <c r="N9" t="inlineStr">
        <is>
          <t>mirrors their Modbus_RTU.ino</t>
        </is>
      </c>
    </row>
    <row r="10">
      <c r="A10" t="inlineStr">
        <is>
          <t>dut_esp_modbus_espidf_s3</t>
        </is>
      </c>
      <c r="B10" t="inlineStr">
        <is>
          <t>espressif/esp-modbus</t>
        </is>
      </c>
      <c r="C10" t="inlineStr">
        <is>
          <t>espidf</t>
        </is>
      </c>
      <c r="D10" t="inlineStr">
        <is>
          <t>esp-modbus v2 mbc_master_send_request</t>
        </is>
      </c>
      <c r="E10" s="430" t="inlineStr">
        <is>
          <t>SUCCESS</t>
        </is>
      </c>
      <c r="F10" t="n">
        <v>269553</v>
      </c>
      <c r="G10" t="n">
        <v>16777216</v>
      </c>
      <c r="H10" t="inlineStr">
        <is>
          <t>1.6%</t>
        </is>
      </c>
      <c r="I10" t="n">
        <v>14448</v>
      </c>
      <c r="J10" t="n">
        <v>327680</v>
      </c>
      <c r="K10" t="inlineStr">
        <is>
          <t>4.4%</t>
        </is>
      </c>
      <c r="L10" t="n">
        <v>49</v>
      </c>
      <c r="M10" t="inlineStr">
        <is>
          <t>PASS 24/24 (2026-05-14)</t>
        </is>
      </c>
      <c r="N10" t="inlineStr">
        <is>
          <t>requires no-space project path; build from /tmp/modbus_eval_real</t>
        </is>
      </c>
    </row>
    <row r="11">
      <c r="A11" t="inlineStr">
        <is>
          <t>dut_maxx_ukoo_espidf_s3</t>
        </is>
      </c>
      <c r="B11" t="inlineStr">
        <is>
          <t>maxx-ukoo/esp32-modbus-tcp2rtu</t>
        </is>
      </c>
      <c r="C11" t="inlineStr">
        <is>
          <t>espidf</t>
        </is>
      </c>
      <c r="D11" t="inlineStr">
        <is>
          <t>esp-modbus (same lib maxx-ukoo wraps)</t>
        </is>
      </c>
      <c r="E11" s="430" t="inlineStr">
        <is>
          <t>SUCCESS</t>
        </is>
      </c>
      <c r="F11" t="n">
        <v>269517</v>
      </c>
      <c r="G11" t="n">
        <v>16777216</v>
      </c>
      <c r="H11" t="inlineStr">
        <is>
          <t>1.6%</t>
        </is>
      </c>
      <c r="I11" t="n">
        <v>14448</v>
      </c>
      <c r="J11" t="n">
        <v>327680</v>
      </c>
      <c r="K11" t="inlineStr">
        <is>
          <t>4.4%</t>
        </is>
      </c>
      <c r="L11" t="n">
        <v>49</v>
      </c>
      <c r="M11" t="inlineStr">
        <is>
          <t>PASS 24/24 (2026-05-14)</t>
        </is>
      </c>
      <c r="N11" t="inlineStr">
        <is>
          <t>requires no-space project path; full gateway app not built (no SPIFFS/MQTT/WiFi rig)</t>
        </is>
      </c>
    </row>
    <row r="13">
      <c r="A13" s="431" t="inlineStr">
        <is>
          <t>EXCLUDED FROM PIO</t>
        </is>
      </c>
    </row>
    <row r="14">
      <c r="A14" t="inlineStr">
        <is>
          <t>rosenrot00/esphome_modbus_bridge</t>
        </is>
      </c>
      <c r="C14" t="inlineStr">
        <is>
          <t>ESPHome</t>
        </is>
      </c>
      <c r="D14" t="inlineStr">
        <is>
          <t>-</t>
        </is>
      </c>
      <c r="E14" t="inlineStr">
        <is>
          <t>EXCLUDED</t>
        </is>
      </c>
      <c r="N14" t="inlineStr">
        <is>
          <t>ESPHome is not a PIO framework; evaluate with esphome compile</t>
        </is>
      </c>
    </row>
    <row r="16">
      <c r="A16" s="431" t="inlineStr">
        <is>
          <t>* Runtime test plan</t>
        </is>
      </c>
    </row>
    <row r="17">
      <c r="A17" t="inlineStr">
        <is>
          <t>T1 FC3 read regs 0..4 = 100,200,300,400,500</t>
        </is>
      </c>
    </row>
    <row r="18">
      <c r="A18" t="inlineStr">
        <is>
          <t>T2 FC6 write reg 0 = 4242</t>
        </is>
      </c>
    </row>
    <row r="19">
      <c r="A19" t="inlineStr">
        <is>
          <t>T3 FC3 read reg 0; expect 4242</t>
        </is>
      </c>
    </row>
    <row r="20">
      <c r="A20" t="inlineStr">
        <is>
          <t>T4 FC16 write regs 0..2 = 100,200,300 (restore)</t>
        </is>
      </c>
    </row>
    <row r="21">
      <c r="A21" t="inlineStr">
        <is>
          <t>Expect: CYCLE SUMMARY: 4/4 PASS each cycle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432" t="inlineStr">
        <is>
          <t>Env</t>
        </is>
      </c>
      <c r="B1" s="432" t="inlineStr">
        <is>
          <t>Step</t>
        </is>
      </c>
      <c r="C1" s="432" t="inlineStr">
        <is>
          <t>N</t>
        </is>
      </c>
      <c r="D1" s="432" t="inlineStr">
        <is>
          <t>min (us)</t>
        </is>
      </c>
      <c r="E1" s="432" t="inlineStr">
        <is>
          <t>mean (us)</t>
        </is>
      </c>
      <c r="F1" s="432" t="inlineStr">
        <is>
          <t>p50 (us)</t>
        </is>
      </c>
      <c r="G1" s="432" t="inlineStr">
        <is>
          <t>p95 (us)</t>
        </is>
      </c>
      <c r="H1" s="432" t="inlineStr">
        <is>
          <t>max (us)</t>
        </is>
      </c>
      <c r="I1" s="432" t="inlineStr">
        <is>
          <t>min (ms)</t>
        </is>
      </c>
      <c r="J1" s="432" t="inlineStr">
        <is>
          <t>mean (ms)</t>
        </is>
      </c>
      <c r="K1" s="432" t="inlineStr">
        <is>
          <t>p50 (ms)</t>
        </is>
      </c>
      <c r="L1" s="432" t="inlineStr">
        <is>
          <t>p95 (ms)</t>
        </is>
      </c>
      <c r="M1" s="432" t="inlineStr">
        <is>
          <t>max (ms)</t>
        </is>
      </c>
    </row>
    <row r="2">
      <c r="A2" t="inlineStr">
        <is>
          <t>dut_rob2011_arduino_s3</t>
        </is>
      </c>
      <c r="B2" t="inlineStr">
        <is>
          <t>T1 FC3 read 0..4</t>
        </is>
      </c>
      <c r="C2" t="n">
        <v>7</v>
      </c>
      <c r="D2" t="n">
        <v>35948</v>
      </c>
      <c r="E2" t="n">
        <v>35951</v>
      </c>
      <c r="F2" t="n">
        <v>35952</v>
      </c>
      <c r="G2" t="n">
        <v>35952</v>
      </c>
      <c r="H2" t="n">
        <v>35952</v>
      </c>
      <c r="I2" t="n">
        <v>35.95</v>
      </c>
      <c r="J2" t="n">
        <v>35.95</v>
      </c>
      <c r="K2" t="n">
        <v>35.95</v>
      </c>
      <c r="L2" t="n">
        <v>35.95</v>
      </c>
      <c r="M2" t="n">
        <v>35.95</v>
      </c>
    </row>
    <row r="3">
      <c r="A3" t="inlineStr">
        <is>
          <t>dut_rob2011_arduino_s3</t>
        </is>
      </c>
      <c r="B3" t="inlineStr">
        <is>
          <t>T2 FC6 write reg 0</t>
        </is>
      </c>
      <c r="C3" t="n">
        <v>8</v>
      </c>
      <c r="D3" t="n">
        <v>29971</v>
      </c>
      <c r="E3" t="n">
        <v>29971</v>
      </c>
      <c r="F3" t="n">
        <v>29971</v>
      </c>
      <c r="G3" t="n">
        <v>29971</v>
      </c>
      <c r="H3" t="n">
        <v>29971</v>
      </c>
      <c r="I3" t="n">
        <v>29.97</v>
      </c>
      <c r="J3" t="n">
        <v>29.97</v>
      </c>
      <c r="K3" t="n">
        <v>29.97</v>
      </c>
      <c r="L3" t="n">
        <v>29.97</v>
      </c>
      <c r="M3" t="n">
        <v>29.97</v>
      </c>
    </row>
    <row r="4">
      <c r="A4" t="inlineStr">
        <is>
          <t>dut_rob2011_arduino_s3</t>
        </is>
      </c>
      <c r="B4" t="inlineStr">
        <is>
          <t>T3 FC3 verify write</t>
        </is>
      </c>
      <c r="C4" t="n">
        <v>8</v>
      </c>
      <c r="D4" t="n">
        <v>27971</v>
      </c>
      <c r="E4" t="n">
        <v>27971</v>
      </c>
      <c r="F4" t="n">
        <v>27971</v>
      </c>
      <c r="G4" t="n">
        <v>27971</v>
      </c>
      <c r="H4" t="n">
        <v>27971</v>
      </c>
      <c r="I4" t="n">
        <v>27.97</v>
      </c>
      <c r="J4" t="n">
        <v>27.97</v>
      </c>
      <c r="K4" t="n">
        <v>27.97</v>
      </c>
      <c r="L4" t="n">
        <v>27.97</v>
      </c>
      <c r="M4" t="n">
        <v>27.97</v>
      </c>
    </row>
    <row r="5">
      <c r="A5" t="inlineStr">
        <is>
          <t>dut_rob2011_arduino_s3</t>
        </is>
      </c>
      <c r="B5" t="inlineStr">
        <is>
          <t>T4 FC16 restore</t>
        </is>
      </c>
      <c r="C5" t="n">
        <v>8</v>
      </c>
      <c r="D5" t="n">
        <v>39970</v>
      </c>
      <c r="E5" t="n">
        <v>39970</v>
      </c>
      <c r="F5" t="n">
        <v>39970</v>
      </c>
      <c r="G5" t="n">
        <v>39971</v>
      </c>
      <c r="H5" t="n">
        <v>39971</v>
      </c>
      <c r="I5" t="n">
        <v>39.97</v>
      </c>
      <c r="J5" t="n">
        <v>39.97</v>
      </c>
      <c r="K5" t="n">
        <v>39.97</v>
      </c>
      <c r="L5" t="n">
        <v>39.97</v>
      </c>
      <c r="M5" t="n">
        <v>39.97</v>
      </c>
    </row>
    <row r="6">
      <c r="A6" t="inlineStr">
        <is>
          <t>dut_rob2011_arduino_s3</t>
        </is>
      </c>
      <c r="B6" t="inlineStr">
        <is>
          <t>ALL</t>
        </is>
      </c>
      <c r="C6" t="n">
        <v>31</v>
      </c>
      <c r="D6" t="n">
        <v>27971</v>
      </c>
      <c r="E6" t="n">
        <v>33386</v>
      </c>
      <c r="F6" t="n">
        <v>29971</v>
      </c>
      <c r="G6" t="n">
        <v>39970</v>
      </c>
      <c r="H6" t="n">
        <v>39971</v>
      </c>
      <c r="I6" t="n">
        <v>27.97</v>
      </c>
      <c r="J6" t="n">
        <v>33.39</v>
      </c>
      <c r="K6" t="n">
        <v>29.97</v>
      </c>
      <c r="L6" t="n">
        <v>39.97</v>
      </c>
      <c r="M6" t="n">
        <v>39.97</v>
      </c>
    </row>
    <row r="7">
      <c r="A7" t="inlineStr">
        <is>
          <t>dut_vwetter_arduino_s3</t>
        </is>
      </c>
      <c r="B7" t="inlineStr">
        <is>
          <t>T1 FC3 read 0..4</t>
        </is>
      </c>
      <c r="C7" t="n">
        <v>7</v>
      </c>
      <c r="D7" t="n">
        <v>31140</v>
      </c>
      <c r="E7" t="n">
        <v>31143</v>
      </c>
      <c r="F7" t="n">
        <v>31142</v>
      </c>
      <c r="G7" t="n">
        <v>31145</v>
      </c>
      <c r="H7" t="n">
        <v>31145</v>
      </c>
      <c r="I7" t="n">
        <v>31.14</v>
      </c>
      <c r="J7" t="n">
        <v>31.14</v>
      </c>
      <c r="K7" t="n">
        <v>31.14</v>
      </c>
      <c r="L7" t="n">
        <v>31.14</v>
      </c>
      <c r="M7" t="n">
        <v>31.14</v>
      </c>
    </row>
    <row r="8">
      <c r="A8" t="inlineStr">
        <is>
          <t>dut_vwetter_arduino_s3</t>
        </is>
      </c>
      <c r="B8" t="inlineStr">
        <is>
          <t>T2 FC6 write reg 0</t>
        </is>
      </c>
      <c r="C8" t="n">
        <v>8</v>
      </c>
      <c r="D8" t="n">
        <v>23157</v>
      </c>
      <c r="E8" t="n">
        <v>23908</v>
      </c>
      <c r="F8" t="n">
        <v>24157</v>
      </c>
      <c r="G8" t="n">
        <v>24159</v>
      </c>
      <c r="H8" t="n">
        <v>24160</v>
      </c>
      <c r="I8" t="n">
        <v>23.16</v>
      </c>
      <c r="J8" t="n">
        <v>23.91</v>
      </c>
      <c r="K8" t="n">
        <v>24.16</v>
      </c>
      <c r="L8" t="n">
        <v>24.16</v>
      </c>
      <c r="M8" t="n">
        <v>24.16</v>
      </c>
    </row>
    <row r="9">
      <c r="A9" t="inlineStr">
        <is>
          <t>dut_vwetter_arduino_s3</t>
        </is>
      </c>
      <c r="B9" t="inlineStr">
        <is>
          <t>T3 FC3 verify write</t>
        </is>
      </c>
      <c r="C9" t="n">
        <v>8</v>
      </c>
      <c r="D9" t="n">
        <v>22162</v>
      </c>
      <c r="E9" t="n">
        <v>22910</v>
      </c>
      <c r="F9" t="n">
        <v>23159</v>
      </c>
      <c r="G9" t="n">
        <v>23162</v>
      </c>
      <c r="H9" t="n">
        <v>23162</v>
      </c>
      <c r="I9" t="n">
        <v>22.16</v>
      </c>
      <c r="J9" t="n">
        <v>22.91</v>
      </c>
      <c r="K9" t="n">
        <v>23.16</v>
      </c>
      <c r="L9" t="n">
        <v>23.16</v>
      </c>
      <c r="M9" t="n">
        <v>23.16</v>
      </c>
    </row>
    <row r="10">
      <c r="A10" t="inlineStr">
        <is>
          <t>dut_vwetter_arduino_s3</t>
        </is>
      </c>
      <c r="B10" t="inlineStr">
        <is>
          <t>T4 FC16 restore</t>
        </is>
      </c>
      <c r="C10" t="n">
        <v>8</v>
      </c>
      <c r="D10" t="n">
        <v>33161</v>
      </c>
      <c r="E10" t="n">
        <v>34033</v>
      </c>
      <c r="F10" t="n">
        <v>34157</v>
      </c>
      <c r="G10" t="n">
        <v>34159</v>
      </c>
      <c r="H10" t="n">
        <v>34160</v>
      </c>
      <c r="I10" t="n">
        <v>33.16</v>
      </c>
      <c r="J10" t="n">
        <v>34.03</v>
      </c>
      <c r="K10" t="n">
        <v>34.16</v>
      </c>
      <c r="L10" t="n">
        <v>34.16</v>
      </c>
      <c r="M10" t="n">
        <v>34.16</v>
      </c>
    </row>
    <row r="11">
      <c r="A11" t="inlineStr">
        <is>
          <t>dut_vwetter_arduino_s3</t>
        </is>
      </c>
      <c r="B11" t="inlineStr">
        <is>
          <t>ALL</t>
        </is>
      </c>
      <c r="C11" t="n">
        <v>31</v>
      </c>
      <c r="D11" t="n">
        <v>22162</v>
      </c>
      <c r="E11" t="n">
        <v>27897</v>
      </c>
      <c r="F11" t="n">
        <v>24160</v>
      </c>
      <c r="G11" t="n">
        <v>34157</v>
      </c>
      <c r="H11" t="n">
        <v>34160</v>
      </c>
      <c r="I11" t="n">
        <v>22.16</v>
      </c>
      <c r="J11" t="n">
        <v>27.9</v>
      </c>
      <c r="K11" t="n">
        <v>24.16</v>
      </c>
      <c r="L11" t="n">
        <v>34.16</v>
      </c>
      <c r="M11" t="n">
        <v>34.16</v>
      </c>
    </row>
    <row r="12">
      <c r="A12" t="inlineStr">
        <is>
          <t>dut_zivillian_arduino_s3</t>
        </is>
      </c>
      <c r="B12" t="inlineStr">
        <is>
          <t>T1 FC3 read 0..4</t>
        </is>
      </c>
      <c r="C12" t="n">
        <v>8</v>
      </c>
      <c r="D12" t="n">
        <v>31974</v>
      </c>
      <c r="E12" t="n">
        <v>45524</v>
      </c>
      <c r="F12" t="n">
        <v>33981</v>
      </c>
      <c r="G12" t="n">
        <v>97911</v>
      </c>
      <c r="H12" t="n">
        <v>132335</v>
      </c>
      <c r="I12" t="n">
        <v>31.97</v>
      </c>
      <c r="J12" t="n">
        <v>45.52</v>
      </c>
      <c r="K12" t="n">
        <v>33.98</v>
      </c>
      <c r="L12" t="n">
        <v>97.91</v>
      </c>
      <c r="M12" t="n">
        <v>132.34</v>
      </c>
    </row>
    <row r="13">
      <c r="A13" t="inlineStr">
        <is>
          <t>dut_zivillian_arduino_s3</t>
        </is>
      </c>
      <c r="B13" t="inlineStr">
        <is>
          <t>T2 FC6 write reg 0</t>
        </is>
      </c>
      <c r="C13" t="n">
        <v>8</v>
      </c>
      <c r="D13" t="n">
        <v>26000</v>
      </c>
      <c r="E13" t="n">
        <v>26000</v>
      </c>
      <c r="F13" t="n">
        <v>26000</v>
      </c>
      <c r="G13" t="n">
        <v>26000</v>
      </c>
      <c r="H13" t="n">
        <v>26000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</row>
    <row r="14">
      <c r="A14" t="inlineStr">
        <is>
          <t>dut_zivillian_arduino_s3</t>
        </is>
      </c>
      <c r="B14" t="inlineStr">
        <is>
          <t>T3 FC3 verify write</t>
        </is>
      </c>
      <c r="C14" t="n">
        <v>8</v>
      </c>
      <c r="D14" t="n">
        <v>24000</v>
      </c>
      <c r="E14" t="n">
        <v>24000</v>
      </c>
      <c r="F14" t="n">
        <v>24000</v>
      </c>
      <c r="G14" t="n">
        <v>24000</v>
      </c>
      <c r="H14" t="n">
        <v>24000</v>
      </c>
      <c r="I14" t="n">
        <v>24</v>
      </c>
      <c r="J14" t="n">
        <v>24</v>
      </c>
      <c r="K14" t="n">
        <v>24</v>
      </c>
      <c r="L14" t="n">
        <v>24</v>
      </c>
      <c r="M14" t="n">
        <v>24</v>
      </c>
    </row>
    <row r="15">
      <c r="A15" t="inlineStr">
        <is>
          <t>dut_zivillian_arduino_s3</t>
        </is>
      </c>
      <c r="B15" t="inlineStr">
        <is>
          <t>T4 FC16 restore</t>
        </is>
      </c>
      <c r="C15" t="n">
        <v>8</v>
      </c>
      <c r="D15" t="n">
        <v>35999</v>
      </c>
      <c r="E15" t="n">
        <v>36000</v>
      </c>
      <c r="F15" t="n">
        <v>36000</v>
      </c>
      <c r="G15" t="n">
        <v>36000</v>
      </c>
      <c r="H15" t="n">
        <v>36000</v>
      </c>
      <c r="I15" t="n">
        <v>36</v>
      </c>
      <c r="J15" t="n">
        <v>36</v>
      </c>
      <c r="K15" t="n">
        <v>36</v>
      </c>
      <c r="L15" t="n">
        <v>36</v>
      </c>
      <c r="M15" t="n">
        <v>36</v>
      </c>
    </row>
    <row r="16">
      <c r="A16" t="inlineStr">
        <is>
          <t>dut_zivillian_arduino_s3</t>
        </is>
      </c>
      <c r="B16" t="inlineStr">
        <is>
          <t>ALL</t>
        </is>
      </c>
      <c r="C16" t="n">
        <v>32</v>
      </c>
      <c r="D16" t="n">
        <v>24000</v>
      </c>
      <c r="E16" t="n">
        <v>32881</v>
      </c>
      <c r="F16" t="n">
        <v>28987</v>
      </c>
      <c r="G16" t="n">
        <v>36000</v>
      </c>
      <c r="H16" t="n">
        <v>132335</v>
      </c>
      <c r="I16" t="n">
        <v>24</v>
      </c>
      <c r="J16" t="n">
        <v>32.88</v>
      </c>
      <c r="K16" t="n">
        <v>28.99</v>
      </c>
      <c r="L16" t="n">
        <v>36</v>
      </c>
      <c r="M16" t="n">
        <v>132.34</v>
      </c>
    </row>
    <row r="17">
      <c r="A17" t="inlineStr">
        <is>
          <t>dut_harihanv_arduino_s3</t>
        </is>
      </c>
      <c r="B17" t="inlineStr">
        <is>
          <t>T1 FC3 read 0..4</t>
        </is>
      </c>
      <c r="C17" t="n">
        <v>7</v>
      </c>
      <c r="D17" t="n">
        <v>31154</v>
      </c>
      <c r="E17" t="n">
        <v>31158</v>
      </c>
      <c r="F17" t="n">
        <v>31158</v>
      </c>
      <c r="G17" t="n">
        <v>31161</v>
      </c>
      <c r="H17" t="n">
        <v>31161</v>
      </c>
      <c r="I17" t="n">
        <v>31.15</v>
      </c>
      <c r="J17" t="n">
        <v>31.16</v>
      </c>
      <c r="K17" t="n">
        <v>31.16</v>
      </c>
      <c r="L17" t="n">
        <v>31.16</v>
      </c>
      <c r="M17" t="n">
        <v>31.16</v>
      </c>
    </row>
    <row r="18">
      <c r="A18" t="inlineStr">
        <is>
          <t>dut_harihanv_arduino_s3</t>
        </is>
      </c>
      <c r="B18" t="inlineStr">
        <is>
          <t>T2 FC6 write reg 0</t>
        </is>
      </c>
      <c r="C18" t="n">
        <v>8</v>
      </c>
      <c r="D18" t="n">
        <v>23175</v>
      </c>
      <c r="E18" t="n">
        <v>24052</v>
      </c>
      <c r="F18" t="n">
        <v>24178</v>
      </c>
      <c r="G18" t="n">
        <v>24178</v>
      </c>
      <c r="H18" t="n">
        <v>24178</v>
      </c>
      <c r="I18" t="n">
        <v>23.18</v>
      </c>
      <c r="J18" t="n">
        <v>24.05</v>
      </c>
      <c r="K18" t="n">
        <v>24.18</v>
      </c>
      <c r="L18" t="n">
        <v>24.18</v>
      </c>
      <c r="M18" t="n">
        <v>24.18</v>
      </c>
    </row>
    <row r="19">
      <c r="A19" t="inlineStr">
        <is>
          <t>dut_harihanv_arduino_s3</t>
        </is>
      </c>
      <c r="B19" t="inlineStr">
        <is>
          <t>T3 FC3 verify write</t>
        </is>
      </c>
      <c r="C19" t="n">
        <v>8</v>
      </c>
      <c r="D19" t="n">
        <v>22178</v>
      </c>
      <c r="E19" t="n">
        <v>23053</v>
      </c>
      <c r="F19" t="n">
        <v>23178</v>
      </c>
      <c r="G19" t="n">
        <v>23178</v>
      </c>
      <c r="H19" t="n">
        <v>23178</v>
      </c>
      <c r="I19" t="n">
        <v>22.18</v>
      </c>
      <c r="J19" t="n">
        <v>23.05</v>
      </c>
      <c r="K19" t="n">
        <v>23.18</v>
      </c>
      <c r="L19" t="n">
        <v>23.18</v>
      </c>
      <c r="M19" t="n">
        <v>23.18</v>
      </c>
    </row>
    <row r="20">
      <c r="A20" t="inlineStr">
        <is>
          <t>dut_harihanv_arduino_s3</t>
        </is>
      </c>
      <c r="B20" t="inlineStr">
        <is>
          <t>T4 FC16 restore</t>
        </is>
      </c>
      <c r="C20" t="n">
        <v>8</v>
      </c>
      <c r="D20" t="n">
        <v>34175</v>
      </c>
      <c r="E20" t="n">
        <v>34176</v>
      </c>
      <c r="F20" t="n">
        <v>34175</v>
      </c>
      <c r="G20" t="n">
        <v>34178</v>
      </c>
      <c r="H20" t="n">
        <v>34178</v>
      </c>
      <c r="I20" t="n">
        <v>34.17</v>
      </c>
      <c r="J20" t="n">
        <v>34.18</v>
      </c>
      <c r="K20" t="n">
        <v>34.17</v>
      </c>
      <c r="L20" t="n">
        <v>34.18</v>
      </c>
      <c r="M20" t="n">
        <v>34.18</v>
      </c>
    </row>
    <row r="21">
      <c r="A21" t="inlineStr">
        <is>
          <t>dut_harihanv_arduino_s3</t>
        </is>
      </c>
      <c r="B21" t="inlineStr">
        <is>
          <t>ALL</t>
        </is>
      </c>
      <c r="C21" t="n">
        <v>31</v>
      </c>
      <c r="D21" t="n">
        <v>22178</v>
      </c>
      <c r="E21" t="n">
        <v>28011</v>
      </c>
      <c r="F21" t="n">
        <v>24178</v>
      </c>
      <c r="G21" t="n">
        <v>34178</v>
      </c>
      <c r="H21" t="n">
        <v>34178</v>
      </c>
      <c r="I21" t="n">
        <v>22.18</v>
      </c>
      <c r="J21" t="n">
        <v>28.01</v>
      </c>
      <c r="K21" t="n">
        <v>24.18</v>
      </c>
      <c r="L21" t="n">
        <v>34.18</v>
      </c>
      <c r="M21" t="n">
        <v>34.18</v>
      </c>
    </row>
    <row r="22">
      <c r="A22" t="inlineStr">
        <is>
          <t>dut_tobiasfaust_arduino_s3</t>
        </is>
      </c>
      <c r="B22" t="inlineStr">
        <is>
          <t>T1 FC3 read 0..4</t>
        </is>
      </c>
      <c r="C22" t="n">
        <v>7</v>
      </c>
      <c r="D22" t="n">
        <v>31130</v>
      </c>
      <c r="E22" t="n">
        <v>31136</v>
      </c>
      <c r="F22" t="n">
        <v>31136</v>
      </c>
      <c r="G22" t="n">
        <v>31139</v>
      </c>
      <c r="H22" t="n">
        <v>31139</v>
      </c>
      <c r="I22" t="n">
        <v>31.13</v>
      </c>
      <c r="J22" t="n">
        <v>31.14</v>
      </c>
      <c r="K22" t="n">
        <v>31.14</v>
      </c>
      <c r="L22" t="n">
        <v>31.14</v>
      </c>
      <c r="M22" t="n">
        <v>31.14</v>
      </c>
    </row>
    <row r="23">
      <c r="A23" t="inlineStr">
        <is>
          <t>dut_tobiasfaust_arduino_s3</t>
        </is>
      </c>
      <c r="B23" t="inlineStr">
        <is>
          <t>T2 FC6 write reg 0</t>
        </is>
      </c>
      <c r="C23" t="n">
        <v>8</v>
      </c>
      <c r="D23" t="n">
        <v>23153</v>
      </c>
      <c r="E23" t="n">
        <v>23655</v>
      </c>
      <c r="F23" t="n">
        <v>23654</v>
      </c>
      <c r="G23" t="n">
        <v>24156</v>
      </c>
      <c r="H23" t="n">
        <v>24156</v>
      </c>
      <c r="I23" t="n">
        <v>23.15</v>
      </c>
      <c r="J23" t="n">
        <v>23.66</v>
      </c>
      <c r="K23" t="n">
        <v>23.65</v>
      </c>
      <c r="L23" t="n">
        <v>24.16</v>
      </c>
      <c r="M23" t="n">
        <v>24.16</v>
      </c>
    </row>
    <row r="24">
      <c r="A24" t="inlineStr">
        <is>
          <t>dut_tobiasfaust_arduino_s3</t>
        </is>
      </c>
      <c r="B24" t="inlineStr">
        <is>
          <t>T3 FC3 verify write</t>
        </is>
      </c>
      <c r="C24" t="n">
        <v>8</v>
      </c>
      <c r="D24" t="n">
        <v>22153</v>
      </c>
      <c r="E24" t="n">
        <v>22531</v>
      </c>
      <c r="F24" t="n">
        <v>22156</v>
      </c>
      <c r="G24" t="n">
        <v>23156</v>
      </c>
      <c r="H24" t="n">
        <v>23156</v>
      </c>
      <c r="I24" t="n">
        <v>22.15</v>
      </c>
      <c r="J24" t="n">
        <v>22.53</v>
      </c>
      <c r="K24" t="n">
        <v>22.16</v>
      </c>
      <c r="L24" t="n">
        <v>23.16</v>
      </c>
      <c r="M24" t="n">
        <v>23.16</v>
      </c>
    </row>
    <row r="25">
      <c r="A25" t="inlineStr">
        <is>
          <t>dut_tobiasfaust_arduino_s3</t>
        </is>
      </c>
      <c r="B25" t="inlineStr">
        <is>
          <t>T4 FC16 restore</t>
        </is>
      </c>
      <c r="C25" t="n">
        <v>8</v>
      </c>
      <c r="D25" t="n">
        <v>33156</v>
      </c>
      <c r="E25" t="n">
        <v>34030</v>
      </c>
      <c r="F25" t="n">
        <v>34156</v>
      </c>
      <c r="G25" t="n">
        <v>34156</v>
      </c>
      <c r="H25" t="n">
        <v>34156</v>
      </c>
      <c r="I25" t="n">
        <v>33.16</v>
      </c>
      <c r="J25" t="n">
        <v>34.03</v>
      </c>
      <c r="K25" t="n">
        <v>34.16</v>
      </c>
      <c r="L25" t="n">
        <v>34.16</v>
      </c>
      <c r="M25" t="n">
        <v>34.16</v>
      </c>
    </row>
    <row r="26">
      <c r="A26" t="inlineStr">
        <is>
          <t>dut_tobiasfaust_arduino_s3</t>
        </is>
      </c>
      <c r="B26" t="inlineStr">
        <is>
          <t>ALL</t>
        </is>
      </c>
      <c r="C26" t="n">
        <v>31</v>
      </c>
      <c r="D26" t="n">
        <v>22153</v>
      </c>
      <c r="E26" t="n">
        <v>27732</v>
      </c>
      <c r="F26" t="n">
        <v>24156</v>
      </c>
      <c r="G26" t="n">
        <v>34156</v>
      </c>
      <c r="H26" t="n">
        <v>34156</v>
      </c>
      <c r="I26" t="n">
        <v>22.15</v>
      </c>
      <c r="J26" t="n">
        <v>27.73</v>
      </c>
      <c r="K26" t="n">
        <v>24.16</v>
      </c>
      <c r="L26" t="n">
        <v>34.16</v>
      </c>
      <c r="M26" t="n">
        <v>34.16</v>
      </c>
    </row>
    <row r="27">
      <c r="A27" t="inlineStr">
        <is>
          <t>dut_emodbus_arduino_s3</t>
        </is>
      </c>
      <c r="B27" t="inlineStr">
        <is>
          <t>T1 FC3 read 0..4</t>
        </is>
      </c>
      <c r="C27" t="n">
        <v>7</v>
      </c>
      <c r="D27" t="n">
        <v>33974</v>
      </c>
      <c r="E27" t="n">
        <v>33980</v>
      </c>
      <c r="F27" t="n">
        <v>33981</v>
      </c>
      <c r="G27" t="n">
        <v>33981</v>
      </c>
      <c r="H27" t="n">
        <v>33981</v>
      </c>
      <c r="I27" t="n">
        <v>33.97</v>
      </c>
      <c r="J27" t="n">
        <v>33.98</v>
      </c>
      <c r="K27" t="n">
        <v>33.98</v>
      </c>
      <c r="L27" t="n">
        <v>33.98</v>
      </c>
      <c r="M27" t="n">
        <v>33.98</v>
      </c>
    </row>
    <row r="28">
      <c r="A28" t="inlineStr">
        <is>
          <t>dut_emodbus_arduino_s3</t>
        </is>
      </c>
      <c r="B28" t="inlineStr">
        <is>
          <t>T2 FC6 write reg 0</t>
        </is>
      </c>
      <c r="C28" t="n">
        <v>8</v>
      </c>
      <c r="D28" t="n">
        <v>26001</v>
      </c>
      <c r="E28" t="n">
        <v>26001</v>
      </c>
      <c r="F28" t="n">
        <v>26001</v>
      </c>
      <c r="G28" t="n">
        <v>26001</v>
      </c>
      <c r="H28" t="n">
        <v>26001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</row>
    <row r="29">
      <c r="A29" t="inlineStr">
        <is>
          <t>dut_emodbus_arduino_s3</t>
        </is>
      </c>
      <c r="B29" t="inlineStr">
        <is>
          <t>T3 FC3 verify write</t>
        </is>
      </c>
      <c r="C29" t="n">
        <v>8</v>
      </c>
      <c r="D29" t="n">
        <v>24001</v>
      </c>
      <c r="E29" t="n">
        <v>25501</v>
      </c>
      <c r="F29" t="n">
        <v>26001</v>
      </c>
      <c r="G29" t="n">
        <v>26001</v>
      </c>
      <c r="H29" t="n">
        <v>26001</v>
      </c>
      <c r="I29" t="n">
        <v>24</v>
      </c>
      <c r="J29" t="n">
        <v>25.5</v>
      </c>
      <c r="K29" t="n">
        <v>26</v>
      </c>
      <c r="L29" t="n">
        <v>26</v>
      </c>
      <c r="M29" t="n">
        <v>26</v>
      </c>
    </row>
    <row r="30">
      <c r="A30" t="inlineStr">
        <is>
          <t>dut_emodbus_arduino_s3</t>
        </is>
      </c>
      <c r="B30" t="inlineStr">
        <is>
          <t>T4 FC16 restore</t>
        </is>
      </c>
      <c r="C30" t="n">
        <v>8</v>
      </c>
      <c r="D30" t="n">
        <v>36000</v>
      </c>
      <c r="E30" t="n">
        <v>36001</v>
      </c>
      <c r="F30" t="n">
        <v>36001</v>
      </c>
      <c r="G30" t="n">
        <v>36001</v>
      </c>
      <c r="H30" t="n">
        <v>36001</v>
      </c>
      <c r="I30" t="n">
        <v>36</v>
      </c>
      <c r="J30" t="n">
        <v>36</v>
      </c>
      <c r="K30" t="n">
        <v>36</v>
      </c>
      <c r="L30" t="n">
        <v>36</v>
      </c>
      <c r="M30" t="n">
        <v>36</v>
      </c>
    </row>
    <row r="31">
      <c r="A31" t="inlineStr">
        <is>
          <t>dut_emodbus_arduino_s3</t>
        </is>
      </c>
      <c r="B31" t="inlineStr">
        <is>
          <t>ALL</t>
        </is>
      </c>
      <c r="C31" t="n">
        <v>31</v>
      </c>
      <c r="D31" t="n">
        <v>24001</v>
      </c>
      <c r="E31" t="n">
        <v>30254</v>
      </c>
      <c r="F31" t="n">
        <v>26001</v>
      </c>
      <c r="G31" t="n">
        <v>36001</v>
      </c>
      <c r="H31" t="n">
        <v>36001</v>
      </c>
      <c r="I31" t="n">
        <v>24</v>
      </c>
      <c r="J31" t="n">
        <v>30.25</v>
      </c>
      <c r="K31" t="n">
        <v>26</v>
      </c>
      <c r="L31" t="n">
        <v>36</v>
      </c>
      <c r="M31" t="n">
        <v>36</v>
      </c>
    </row>
    <row r="32">
      <c r="A32" t="inlineStr">
        <is>
          <t>dut_namnam_iot_arduino_s3</t>
        </is>
      </c>
      <c r="B32" t="inlineStr">
        <is>
          <t>T1 FC3 read 0..4</t>
        </is>
      </c>
      <c r="C32" t="n">
        <v>7</v>
      </c>
      <c r="D32" t="n">
        <v>27545</v>
      </c>
      <c r="E32" t="n">
        <v>27805</v>
      </c>
      <c r="F32" t="n">
        <v>27805</v>
      </c>
      <c r="G32" t="n">
        <v>28034</v>
      </c>
      <c r="H32" t="n">
        <v>28058</v>
      </c>
      <c r="I32" t="n">
        <v>27.55</v>
      </c>
      <c r="J32" t="n">
        <v>27.8</v>
      </c>
      <c r="K32" t="n">
        <v>27.8</v>
      </c>
      <c r="L32" t="n">
        <v>28.03</v>
      </c>
      <c r="M32" t="n">
        <v>28.06</v>
      </c>
    </row>
    <row r="33">
      <c r="A33" t="inlineStr">
        <is>
          <t>dut_namnam_iot_arduino_s3</t>
        </is>
      </c>
      <c r="B33" t="inlineStr">
        <is>
          <t>T2 FC6 write reg 0</t>
        </is>
      </c>
      <c r="C33" t="n">
        <v>8</v>
      </c>
      <c r="D33" t="n">
        <v>20200</v>
      </c>
      <c r="E33" t="n">
        <v>20494</v>
      </c>
      <c r="F33" t="n">
        <v>20494</v>
      </c>
      <c r="G33" t="n">
        <v>20757</v>
      </c>
      <c r="H33" t="n">
        <v>20787</v>
      </c>
      <c r="I33" t="n">
        <v>20.2</v>
      </c>
      <c r="J33" t="n">
        <v>20.49</v>
      </c>
      <c r="K33" t="n">
        <v>20.49</v>
      </c>
      <c r="L33" t="n">
        <v>20.76</v>
      </c>
      <c r="M33" t="n">
        <v>20.79</v>
      </c>
    </row>
    <row r="34">
      <c r="A34" t="inlineStr">
        <is>
          <t>dut_namnam_iot_arduino_s3</t>
        </is>
      </c>
      <c r="B34" t="inlineStr">
        <is>
          <t>T3 FC3 verify write</t>
        </is>
      </c>
      <c r="C34" t="n">
        <v>8</v>
      </c>
      <c r="D34" t="n">
        <v>19156</v>
      </c>
      <c r="E34" t="n">
        <v>19449</v>
      </c>
      <c r="F34" t="n">
        <v>19450</v>
      </c>
      <c r="G34" t="n">
        <v>19713</v>
      </c>
      <c r="H34" t="n">
        <v>19743</v>
      </c>
      <c r="I34" t="n">
        <v>19.16</v>
      </c>
      <c r="J34" t="n">
        <v>19.45</v>
      </c>
      <c r="K34" t="n">
        <v>19.45</v>
      </c>
      <c r="L34" t="n">
        <v>19.71</v>
      </c>
      <c r="M34" t="n">
        <v>19.74</v>
      </c>
    </row>
    <row r="35">
      <c r="A35" t="inlineStr">
        <is>
          <t>dut_namnam_iot_arduino_s3</t>
        </is>
      </c>
      <c r="B35" t="inlineStr">
        <is>
          <t>T4 FC16 restore</t>
        </is>
      </c>
      <c r="C35" t="n">
        <v>8</v>
      </c>
      <c r="D35" t="n">
        <v>30157</v>
      </c>
      <c r="E35" t="n">
        <v>30453</v>
      </c>
      <c r="F35" t="n">
        <v>30458</v>
      </c>
      <c r="G35" t="n">
        <v>30717</v>
      </c>
      <c r="H35" t="n">
        <v>30746</v>
      </c>
      <c r="I35" t="n">
        <v>30.16</v>
      </c>
      <c r="J35" t="n">
        <v>30.45</v>
      </c>
      <c r="K35" t="n">
        <v>30.46</v>
      </c>
      <c r="L35" t="n">
        <v>30.72</v>
      </c>
      <c r="M35" t="n">
        <v>30.75</v>
      </c>
    </row>
    <row r="36">
      <c r="A36" t="inlineStr">
        <is>
          <t>dut_namnam_iot_arduino_s3</t>
        </is>
      </c>
      <c r="B36" t="inlineStr">
        <is>
          <t>ALL</t>
        </is>
      </c>
      <c r="C36" t="n">
        <v>31</v>
      </c>
      <c r="D36" t="n">
        <v>19156</v>
      </c>
      <c r="E36" t="n">
        <v>24445</v>
      </c>
      <c r="F36" t="n">
        <v>20787</v>
      </c>
      <c r="G36" t="n">
        <v>30620</v>
      </c>
      <c r="H36" t="n">
        <v>30746</v>
      </c>
      <c r="I36" t="n">
        <v>19.16</v>
      </c>
      <c r="J36" t="n">
        <v>24.45</v>
      </c>
      <c r="K36" t="n">
        <v>20.79</v>
      </c>
      <c r="L36" t="n">
        <v>30.62</v>
      </c>
      <c r="M36" t="n">
        <v>30.75</v>
      </c>
    </row>
    <row r="37">
      <c r="A37" t="inlineStr">
        <is>
          <t>dut_esp_modbus_espidf_s3</t>
        </is>
      </c>
      <c r="B37" t="inlineStr">
        <is>
          <t>T1 FC3 read 0..4</t>
        </is>
      </c>
      <c r="C37" t="n">
        <v>8</v>
      </c>
      <c r="D37" t="n">
        <v>30933</v>
      </c>
      <c r="E37" t="n">
        <v>31228</v>
      </c>
      <c r="F37" t="n">
        <v>31226</v>
      </c>
      <c r="G37" t="n">
        <v>31494</v>
      </c>
      <c r="H37" t="n">
        <v>31523</v>
      </c>
      <c r="I37" t="n">
        <v>30.93</v>
      </c>
      <c r="J37" t="n">
        <v>31.23</v>
      </c>
      <c r="K37" t="n">
        <v>31.23</v>
      </c>
      <c r="L37" t="n">
        <v>31.49</v>
      </c>
      <c r="M37" t="n">
        <v>31.52</v>
      </c>
    </row>
    <row r="38">
      <c r="A38" t="inlineStr">
        <is>
          <t>dut_esp_modbus_espidf_s3</t>
        </is>
      </c>
      <c r="B38" t="inlineStr">
        <is>
          <t>T2 FC6 write reg 0</t>
        </is>
      </c>
      <c r="C38" t="n">
        <v>8</v>
      </c>
      <c r="D38" t="n">
        <v>23221</v>
      </c>
      <c r="E38" t="n">
        <v>23805</v>
      </c>
      <c r="F38" t="n">
        <v>23844</v>
      </c>
      <c r="G38" t="n">
        <v>24111</v>
      </c>
      <c r="H38" t="n">
        <v>24141</v>
      </c>
      <c r="I38" t="n">
        <v>23.22</v>
      </c>
      <c r="J38" t="n">
        <v>23.8</v>
      </c>
      <c r="K38" t="n">
        <v>23.84</v>
      </c>
      <c r="L38" t="n">
        <v>24.11</v>
      </c>
      <c r="M38" t="n">
        <v>24.14</v>
      </c>
    </row>
    <row r="39">
      <c r="A39" t="inlineStr">
        <is>
          <t>dut_esp_modbus_espidf_s3</t>
        </is>
      </c>
      <c r="B39" t="inlineStr">
        <is>
          <t>T3 FC3 verify write</t>
        </is>
      </c>
      <c r="C39" t="n">
        <v>8</v>
      </c>
      <c r="D39" t="n">
        <v>22281</v>
      </c>
      <c r="E39" t="n">
        <v>22862</v>
      </c>
      <c r="F39" t="n">
        <v>22904</v>
      </c>
      <c r="G39" t="n">
        <v>23168</v>
      </c>
      <c r="H39" t="n">
        <v>23198</v>
      </c>
      <c r="I39" t="n">
        <v>22.28</v>
      </c>
      <c r="J39" t="n">
        <v>22.86</v>
      </c>
      <c r="K39" t="n">
        <v>22.9</v>
      </c>
      <c r="L39" t="n">
        <v>23.17</v>
      </c>
      <c r="M39" t="n">
        <v>23.2</v>
      </c>
    </row>
    <row r="40">
      <c r="A40" t="inlineStr">
        <is>
          <t>dut_esp_modbus_espidf_s3</t>
        </is>
      </c>
      <c r="B40" t="inlineStr">
        <is>
          <t>T4 FC16 restore</t>
        </is>
      </c>
      <c r="C40" t="n">
        <v>8</v>
      </c>
      <c r="D40" t="n">
        <v>33678</v>
      </c>
      <c r="E40" t="n">
        <v>33976</v>
      </c>
      <c r="F40" t="n">
        <v>33978</v>
      </c>
      <c r="G40" t="n">
        <v>34238</v>
      </c>
      <c r="H40" t="n">
        <v>34267</v>
      </c>
      <c r="I40" t="n">
        <v>33.68</v>
      </c>
      <c r="J40" t="n">
        <v>33.98</v>
      </c>
      <c r="K40" t="n">
        <v>33.98</v>
      </c>
      <c r="L40" t="n">
        <v>34.24</v>
      </c>
      <c r="M40" t="n">
        <v>34.27</v>
      </c>
    </row>
    <row r="41">
      <c r="A41" t="inlineStr">
        <is>
          <t>dut_esp_modbus_espidf_s3</t>
        </is>
      </c>
      <c r="B41" t="inlineStr">
        <is>
          <t>ALL</t>
        </is>
      </c>
      <c r="C41" t="n">
        <v>32</v>
      </c>
      <c r="D41" t="n">
        <v>22281</v>
      </c>
      <c r="E41" t="n">
        <v>27968</v>
      </c>
      <c r="F41" t="n">
        <v>27537</v>
      </c>
      <c r="G41" t="n">
        <v>34142</v>
      </c>
      <c r="H41" t="n">
        <v>34267</v>
      </c>
      <c r="I41" t="n">
        <v>22.28</v>
      </c>
      <c r="J41" t="n">
        <v>27.97</v>
      </c>
      <c r="K41" t="n">
        <v>27.54</v>
      </c>
      <c r="L41" t="n">
        <v>34.14</v>
      </c>
      <c r="M41" t="n">
        <v>34.27</v>
      </c>
    </row>
    <row r="42">
      <c r="A42" t="inlineStr">
        <is>
          <t>dut_maxx_ukoo_espidf_s3</t>
        </is>
      </c>
      <c r="B42" t="inlineStr">
        <is>
          <t>T1 FC3 read 0..4</t>
        </is>
      </c>
      <c r="C42" t="n">
        <v>8</v>
      </c>
      <c r="D42" t="n">
        <v>30684</v>
      </c>
      <c r="E42" t="n">
        <v>31018</v>
      </c>
      <c r="F42" t="n">
        <v>30976</v>
      </c>
      <c r="G42" t="n">
        <v>31456</v>
      </c>
      <c r="H42" t="n">
        <v>31601</v>
      </c>
      <c r="I42" t="n">
        <v>30.68</v>
      </c>
      <c r="J42" t="n">
        <v>31.02</v>
      </c>
      <c r="K42" t="n">
        <v>30.98</v>
      </c>
      <c r="L42" t="n">
        <v>31.46</v>
      </c>
      <c r="M42" t="n">
        <v>31.6</v>
      </c>
    </row>
    <row r="43">
      <c r="A43" t="inlineStr">
        <is>
          <t>dut_maxx_ukoo_espidf_s3</t>
        </is>
      </c>
      <c r="B43" t="inlineStr">
        <is>
          <t>T2 FC6 write reg 0</t>
        </is>
      </c>
      <c r="C43" t="n">
        <v>8</v>
      </c>
      <c r="D43" t="n">
        <v>23299</v>
      </c>
      <c r="E43" t="n">
        <v>23593</v>
      </c>
      <c r="F43" t="n">
        <v>23594</v>
      </c>
      <c r="G43" t="n">
        <v>23858</v>
      </c>
      <c r="H43" t="n">
        <v>23887</v>
      </c>
      <c r="I43" t="n">
        <v>23.3</v>
      </c>
      <c r="J43" t="n">
        <v>23.59</v>
      </c>
      <c r="K43" t="n">
        <v>23.59</v>
      </c>
      <c r="L43" t="n">
        <v>23.86</v>
      </c>
      <c r="M43" t="n">
        <v>23.89</v>
      </c>
    </row>
    <row r="44">
      <c r="A44" t="inlineStr">
        <is>
          <t>dut_maxx_ukoo_espidf_s3</t>
        </is>
      </c>
      <c r="B44" t="inlineStr">
        <is>
          <t>T3 FC3 verify write</t>
        </is>
      </c>
      <c r="C44" t="n">
        <v>8</v>
      </c>
      <c r="D44" t="n">
        <v>22340</v>
      </c>
      <c r="E44" t="n">
        <v>22640</v>
      </c>
      <c r="F44" t="n">
        <v>22642</v>
      </c>
      <c r="G44" t="n">
        <v>22905</v>
      </c>
      <c r="H44" t="n">
        <v>22934</v>
      </c>
      <c r="I44" t="n">
        <v>22.34</v>
      </c>
      <c r="J44" t="n">
        <v>22.64</v>
      </c>
      <c r="K44" t="n">
        <v>22.64</v>
      </c>
      <c r="L44" t="n">
        <v>22.91</v>
      </c>
      <c r="M44" t="n">
        <v>22.93</v>
      </c>
    </row>
    <row r="45">
      <c r="A45" t="inlineStr">
        <is>
          <t>dut_maxx_ukoo_espidf_s3</t>
        </is>
      </c>
      <c r="B45" t="inlineStr">
        <is>
          <t>T4 FC16 restore</t>
        </is>
      </c>
      <c r="C45" t="n">
        <v>8</v>
      </c>
      <c r="D45" t="n">
        <v>33614</v>
      </c>
      <c r="E45" t="n">
        <v>34029</v>
      </c>
      <c r="F45" t="n">
        <v>33905</v>
      </c>
      <c r="G45" t="n">
        <v>34499</v>
      </c>
      <c r="H45" t="n">
        <v>34527</v>
      </c>
      <c r="I45" t="n">
        <v>33.61</v>
      </c>
      <c r="J45" t="n">
        <v>34.03</v>
      </c>
      <c r="K45" t="n">
        <v>33.91</v>
      </c>
      <c r="L45" t="n">
        <v>34.5</v>
      </c>
      <c r="M45" t="n">
        <v>34.53</v>
      </c>
    </row>
    <row r="46">
      <c r="A46" t="inlineStr">
        <is>
          <t>dut_maxx_ukoo_espidf_s3</t>
        </is>
      </c>
      <c r="B46" t="inlineStr">
        <is>
          <t>ALL</t>
        </is>
      </c>
      <c r="C46" t="n">
        <v>32</v>
      </c>
      <c r="D46" t="n">
        <v>22340</v>
      </c>
      <c r="E46" t="n">
        <v>27820</v>
      </c>
      <c r="F46" t="n">
        <v>27286</v>
      </c>
      <c r="G46" t="n">
        <v>34397</v>
      </c>
      <c r="H46" t="n">
        <v>34527</v>
      </c>
      <c r="I46" t="n">
        <v>22.34</v>
      </c>
      <c r="J46" t="n">
        <v>27.82</v>
      </c>
      <c r="K46" t="n">
        <v>27.29</v>
      </c>
      <c r="L46" t="n">
        <v>34.4</v>
      </c>
      <c r="M46" t="n">
        <v>34.53</v>
      </c>
    </row>
    <row r="48">
      <c r="A48" s="431" t="inlineStr">
        <is>
          <t>Wire-time minimums @ 9600 8N1 (1 char = 1.042 ms, 3.5-char silence = ~3.65 ms):</t>
        </is>
      </c>
    </row>
    <row r="49">
      <c r="A49" t="inlineStr">
        <is>
          <t>FC3 read 5 regs</t>
        </is>
      </c>
      <c r="B49" t="inlineStr">
        <is>
          <t>~27.6 ms</t>
        </is>
      </c>
    </row>
    <row r="50">
      <c r="A50" t="inlineStr">
        <is>
          <t>FC6 write 1 reg</t>
        </is>
      </c>
      <c r="B50" t="inlineStr">
        <is>
          <t>~20.3 ms</t>
        </is>
      </c>
    </row>
    <row r="51">
      <c r="A51" t="inlineStr">
        <is>
          <t>FC3 read 1 reg</t>
        </is>
      </c>
      <c r="B51" t="inlineStr">
        <is>
          <t>~19.3 ms</t>
        </is>
      </c>
    </row>
    <row r="52">
      <c r="A52" t="inlineStr">
        <is>
          <t>FC16 write 3 regs</t>
        </is>
      </c>
      <c r="B52" t="inlineStr">
        <is>
          <t>~26.6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2026-05-11T14:35:18Z</dcterms:created>
  <dcterms:modified xmlns:dcterms="http://purl.org/dc/terms/" xmlns:xsi="http://www.w3.org/2001/XMLSchema-instance" xsi:type="dcterms:W3CDTF">2026-05-15T03:53:58Z</dcterms:modified>
</cp:coreProperties>
</file>